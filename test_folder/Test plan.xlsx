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rutho\Documents\_Vision College\Courses_Assignments\A8_Final\"/>
    </mc:Choice>
  </mc:AlternateContent>
  <xr:revisionPtr revIDLastSave="0" documentId="13_ncr:1_{93AA290B-F83F-44C1-86A2-D66F99EB71E1}" xr6:coauthVersionLast="45" xr6:coauthVersionMax="45" xr10:uidLastSave="{00000000-0000-0000-0000-000000000000}"/>
  <bookViews>
    <workbookView xWindow="20370" yWindow="-120" windowWidth="24240" windowHeight="13140" xr2:uid="{00000000-000D-0000-FFFF-FFFF00000000}"/>
  </bookViews>
  <sheets>
    <sheet name="Master" sheetId="2" r:id="rId1"/>
    <sheet name="Unit Testing" sheetId="13" r:id="rId2"/>
    <sheet name="IE" sheetId="11" r:id="rId3"/>
    <sheet name="Phone" sheetId="14" r:id="rId4"/>
    <sheet name="Tablet" sheetId="15" r:id="rId5"/>
    <sheet name="Plesk" sheetId="12" r:id="rId6"/>
  </sheets>
  <definedNames>
    <definedName name="_xlnm._FilterDatabase" localSheetId="2" hidden="1">IE!$A$7:$H$44</definedName>
    <definedName name="_xlnm._FilterDatabase" localSheetId="0" hidden="1">Master!$A$7:$G$7</definedName>
    <definedName name="_xlnm._FilterDatabase" localSheetId="3" hidden="1">Phone!$A$7:$J$25</definedName>
    <definedName name="_xlnm._FilterDatabase" localSheetId="5" hidden="1">Plesk!$A$7:$I$39</definedName>
    <definedName name="_xlnm._FilterDatabase" localSheetId="4" hidden="1">Tablet!$A$7:$J$39</definedName>
    <definedName name="_xlnm._FilterDatabase" localSheetId="1" hidden="1">'Unit Testing'!$A$7:$J$44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43" i="2" l="1"/>
  <c r="E43" i="2"/>
  <c r="F43" i="2"/>
  <c r="H19" i="2"/>
  <c r="H20" i="2"/>
  <c r="H21" i="2"/>
  <c r="H22" i="2"/>
  <c r="H23" i="2"/>
  <c r="H24" i="2"/>
  <c r="H25" i="2"/>
  <c r="H26" i="2"/>
  <c r="H27" i="2"/>
  <c r="H28" i="2"/>
  <c r="H29" i="2"/>
  <c r="H30" i="2"/>
  <c r="H31" i="2"/>
  <c r="H32" i="2"/>
  <c r="H33" i="2"/>
  <c r="H34" i="2"/>
  <c r="H35" i="2"/>
  <c r="H36" i="2"/>
  <c r="H37" i="2"/>
  <c r="H38" i="2"/>
  <c r="H39" i="2"/>
  <c r="H40" i="2"/>
  <c r="H41" i="2"/>
  <c r="H42" i="2"/>
  <c r="H43" i="2"/>
  <c r="H44" i="2"/>
  <c r="H18" i="2"/>
  <c r="H16" i="2"/>
  <c r="H14" i="2"/>
  <c r="H12" i="2"/>
  <c r="H10" i="2"/>
  <c r="H8" i="2"/>
  <c r="G10" i="2" l="1"/>
  <c r="G12" i="2"/>
  <c r="G14" i="2"/>
  <c r="G16" i="2"/>
  <c r="G18" i="2"/>
  <c r="G19" i="2"/>
  <c r="G20" i="2"/>
  <c r="G21" i="2"/>
  <c r="G22" i="2"/>
  <c r="G23" i="2"/>
  <c r="G24" i="2"/>
  <c r="G25" i="2"/>
  <c r="G26" i="2"/>
  <c r="G27" i="2"/>
  <c r="G28" i="2"/>
  <c r="G29" i="2"/>
  <c r="G30" i="2"/>
  <c r="G31" i="2"/>
  <c r="G32" i="2"/>
  <c r="G33" i="2"/>
  <c r="G34" i="2"/>
  <c r="G35" i="2"/>
  <c r="G36" i="2"/>
  <c r="G37" i="2"/>
  <c r="G38" i="2"/>
  <c r="G39" i="2"/>
  <c r="G40" i="2"/>
  <c r="G41" i="2"/>
  <c r="G42" i="2"/>
  <c r="G43" i="2"/>
  <c r="G44" i="2"/>
  <c r="G8" i="2"/>
  <c r="F28" i="2"/>
  <c r="F29" i="2"/>
  <c r="F30" i="2"/>
  <c r="F31" i="2"/>
  <c r="F32" i="2"/>
  <c r="F33" i="2"/>
  <c r="F34" i="2"/>
  <c r="F35" i="2"/>
  <c r="F36" i="2"/>
  <c r="F37" i="2"/>
  <c r="F38" i="2"/>
  <c r="F39" i="2"/>
  <c r="F40" i="2"/>
  <c r="F41" i="2"/>
  <c r="F42" i="2"/>
  <c r="F44" i="2"/>
  <c r="F27"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4" i="2"/>
  <c r="E8"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4" i="2"/>
  <c r="D9" i="2"/>
  <c r="D8" i="2"/>
  <c r="B3" i="15" l="1"/>
  <c r="G4" i="2" s="1"/>
  <c r="B2" i="15"/>
  <c r="G3" i="2" s="1"/>
  <c r="B3" i="14"/>
  <c r="F4" i="2" s="1"/>
  <c r="B2" i="14"/>
  <c r="F3" i="2" s="1"/>
  <c r="B4" i="15" l="1"/>
  <c r="B4" i="14"/>
  <c r="B3" i="11"/>
  <c r="E4" i="2" s="1"/>
  <c r="B2" i="11"/>
  <c r="E3" i="2" s="1"/>
  <c r="B3" i="12"/>
  <c r="B2" i="12"/>
  <c r="B3" i="13" l="1"/>
  <c r="D4" i="2" s="1"/>
  <c r="B2" i="13"/>
  <c r="D3" i="2" s="1"/>
  <c r="B4" i="13" l="1"/>
  <c r="B4" i="12" l="1"/>
  <c r="B4" i="11"/>
  <c r="E5" i="2"/>
  <c r="B3" i="2"/>
  <c r="G5" i="2" l="1"/>
  <c r="F5" i="2"/>
  <c r="D5" i="2"/>
  <c r="B4" i="2" l="1"/>
  <c r="B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Ruth Opie</author>
  </authors>
  <commentList>
    <comment ref="B7" authorId="0" shapeId="0" xr:uid="{20DEEB19-75B3-4DFF-B0CB-6F03BBE81D5C}">
      <text>
        <r>
          <rPr>
            <b/>
            <sz val="9"/>
            <color indexed="81"/>
            <rFont val="Tahoma"/>
            <family val="2"/>
          </rPr>
          <t>Ruth Opie:</t>
        </r>
        <r>
          <rPr>
            <sz val="9"/>
            <color indexed="81"/>
            <rFont val="Tahoma"/>
            <family val="2"/>
          </rPr>
          <t xml:space="preserve">
AD = Administrator test
PUB = Public general website test
</t>
        </r>
      </text>
    </comment>
  </commentList>
</comments>
</file>

<file path=xl/sharedStrings.xml><?xml version="1.0" encoding="utf-8"?>
<sst xmlns="http://schemas.openxmlformats.org/spreadsheetml/2006/main" count="1464" uniqueCount="228">
  <si>
    <t>Test ID</t>
  </si>
  <si>
    <t>IE</t>
  </si>
  <si>
    <t>Phone</t>
  </si>
  <si>
    <t>Total Tests</t>
  </si>
  <si>
    <t>Tested</t>
  </si>
  <si>
    <t>% Complete</t>
  </si>
  <si>
    <t>Total Tests:</t>
  </si>
  <si>
    <t>Tested:</t>
  </si>
  <si>
    <t>In Progress</t>
  </si>
  <si>
    <t>% Complete:</t>
  </si>
  <si>
    <t>Not Tested</t>
  </si>
  <si>
    <t>Error</t>
  </si>
  <si>
    <t>Test Case</t>
  </si>
  <si>
    <t>Test</t>
  </si>
  <si>
    <t>Status</t>
  </si>
  <si>
    <t>Tests to 
complete</t>
  </si>
  <si>
    <t>Complete = 1
Incomplete = 0</t>
  </si>
  <si>
    <t>Tablet</t>
  </si>
  <si>
    <t>Page</t>
  </si>
  <si>
    <t>Comments</t>
  </si>
  <si>
    <t xml:space="preserve">Device Type/Screen size </t>
  </si>
  <si>
    <t>Browser Type
(tested on laptop)</t>
  </si>
  <si>
    <t>Overall Comments</t>
  </si>
  <si>
    <t>Portrait result (375 x 667)</t>
  </si>
  <si>
    <t>Landscape result (667 x 375)</t>
  </si>
  <si>
    <t>Test Steps</t>
  </si>
  <si>
    <t>Test Data</t>
  </si>
  <si>
    <t>Expected Result</t>
  </si>
  <si>
    <t>Actual Result</t>
  </si>
  <si>
    <t>Functional Testing: Internet Explorer - Standard laptop</t>
  </si>
  <si>
    <t>Unit Testing</t>
  </si>
  <si>
    <t>As expected</t>
  </si>
  <si>
    <t>Footer</t>
  </si>
  <si>
    <t>Login</t>
  </si>
  <si>
    <t xml:space="preserve"> </t>
  </si>
  <si>
    <t>n/a</t>
  </si>
  <si>
    <t>Logout</t>
  </si>
  <si>
    <t>Display cakes</t>
  </si>
  <si>
    <t>Update cake</t>
  </si>
  <si>
    <t>Delete cake</t>
  </si>
  <si>
    <t>Add cake</t>
  </si>
  <si>
    <t>Delete cake images</t>
  </si>
  <si>
    <t>Display testimonials</t>
  </si>
  <si>
    <t>Delete testimonial</t>
  </si>
  <si>
    <t>Add testimonial</t>
  </si>
  <si>
    <t>Refer test steps</t>
  </si>
  <si>
    <t>Email: admin@ppcakes
Password: admin123</t>
  </si>
  <si>
    <t>Login - not registered</t>
  </si>
  <si>
    <t>1. Insert URL: http://localhost/a8/ppcakes/admin/index.php
2. Enter email address
3. Enter password
4. Select login button</t>
  </si>
  <si>
    <t>1. Select logout button</t>
  </si>
  <si>
    <t>1. Insert URL: http://localhost/a8/ppcakes/admin/php/a_cakes.php</t>
  </si>
  <si>
    <t>Email: admin@pickles
Password: admin123</t>
  </si>
  <si>
    <t>User is presented with login page.
Error message is given for unknown user.</t>
  </si>
  <si>
    <t xml:space="preserve">Test logout button from the following admin pages:
a_cakes
cake_create
cake_update
image_upload
testim
testim_create
coinfo
users
user_create
</t>
  </si>
  <si>
    <t>User is logged out from page and returned to admin index/login page.</t>
  </si>
  <si>
    <t>User is directed to login page.</t>
  </si>
  <si>
    <t>Delete user</t>
  </si>
  <si>
    <t>Add user</t>
  </si>
  <si>
    <t>Test Scenario/Pre-requisite</t>
  </si>
  <si>
    <t>User is logged in</t>
  </si>
  <si>
    <t>Udpate company info</t>
  </si>
  <si>
    <t>Add cake images</t>
  </si>
  <si>
    <t>User created in database</t>
  </si>
  <si>
    <t>User not created in database</t>
  </si>
  <si>
    <t>Attempt to access cakes page directly</t>
  </si>
  <si>
    <t>User is not logged in</t>
  </si>
  <si>
    <t>Menu bar</t>
  </si>
  <si>
    <t>Body</t>
  </si>
  <si>
    <t>Home - menu</t>
  </si>
  <si>
    <t>Home - body</t>
  </si>
  <si>
    <t>Home - footer</t>
  </si>
  <si>
    <t>Cakes - menu</t>
  </si>
  <si>
    <t>Cakes - body</t>
  </si>
  <si>
    <t>Cakes - footer</t>
  </si>
  <si>
    <t>Cake Category - menu</t>
  </si>
  <si>
    <t>Cake Category - body</t>
  </si>
  <si>
    <t>Cake Category - footer</t>
  </si>
  <si>
    <t>Single Cake - menu</t>
  </si>
  <si>
    <t>Single Cake - body</t>
  </si>
  <si>
    <t>Single Cake - footer</t>
  </si>
  <si>
    <t>About - menu</t>
  </si>
  <si>
    <t>About - body</t>
  </si>
  <si>
    <t>About - footer</t>
  </si>
  <si>
    <t>Contact - menu</t>
  </si>
  <si>
    <t>Contact - body</t>
  </si>
  <si>
    <t>Contact - footer</t>
  </si>
  <si>
    <t>Refer to screenshots</t>
  </si>
  <si>
    <t>Data from database is displayed in correct place on the webpage.
Correct category description is displayed.</t>
  </si>
  <si>
    <t>Update cake - cancel</t>
  </si>
  <si>
    <t>1. Select pencil icon in action column
2. Update cake details
3. Select Back to List or Cancel button.</t>
  </si>
  <si>
    <t>1. Login
2. Review information displayed is as per information in database</t>
  </si>
  <si>
    <t>User is presented with login page.
User is presented with a_cakes page upon successful login.
Administrator menu bar appears: Cakes, Testimonials, Company Info, Users &amp; Logout button.</t>
  </si>
  <si>
    <t>Changes are not saved</t>
  </si>
  <si>
    <t>1. Select pencil icon in action column
2. Update cake details, drop down list and free text
3. Select Save Changes button.</t>
  </si>
  <si>
    <t>Update category from Birthday to Wedding.
Update flavours from Chocolate, Vanilla, Lemon to Chocolate Mud.</t>
  </si>
  <si>
    <t>Changes are updated and shown in cakes screen user is redirected back to cakes page.</t>
  </si>
  <si>
    <t>Changes are saved and new cake is shown in cakes screen user is redirected to upload images page.</t>
  </si>
  <si>
    <t>1. Select + New Cake button
2. Add cake details, drop down list and free text
3. Select Add Cake button.</t>
  </si>
  <si>
    <t>Add cake - cancel</t>
  </si>
  <si>
    <t>1. Select + New Cake button
2. Add cake details, drop down list and free text
3. Select Cancel button</t>
  </si>
  <si>
    <t>Changes are not saved,  user is redirected back to cakes page.</t>
  </si>
  <si>
    <t>1. Select Choose file button
2. Select image
3. Select Upload image button
4. Select Back to List  button</t>
  </si>
  <si>
    <t>Cake #16
Images: flower1, flower2</t>
  </si>
  <si>
    <t>Image links are saved to database, images are moved to the images file, images appear for cake on webpage.</t>
  </si>
  <si>
    <t>1. Select trash icon in action column
2. Select no to confirm</t>
  </si>
  <si>
    <t>Delete cake - cancel</t>
  </si>
  <si>
    <t>1. Select trash icon in action column
2. Select yes to confirm</t>
  </si>
  <si>
    <t>User is returned to cakes page, cake is not deleted.</t>
  </si>
  <si>
    <t>User is returned to cakes page, cake and images are deleted from database tables.</t>
  </si>
  <si>
    <r>
      <rPr>
        <b/>
        <sz val="11"/>
        <color theme="1"/>
        <rFont val="Calibri"/>
        <family val="2"/>
        <scheme val="minor"/>
      </rPr>
      <t xml:space="preserve">Error: </t>
    </r>
    <r>
      <rPr>
        <sz val="11"/>
        <color theme="1"/>
        <rFont val="Calibri"/>
        <family val="2"/>
        <scheme val="minor"/>
      </rPr>
      <t xml:space="preserve">Oops! Something went wrong. Please try again later.
</t>
    </r>
    <r>
      <rPr>
        <b/>
        <sz val="11"/>
        <color theme="1"/>
        <rFont val="Calibri"/>
        <family val="2"/>
        <scheme val="minor"/>
      </rPr>
      <t xml:space="preserve">Solution: </t>
    </r>
    <r>
      <rPr>
        <sz val="11"/>
        <color theme="1"/>
        <rFont val="Calibri"/>
        <family val="2"/>
        <scheme val="minor"/>
      </rPr>
      <t>Added delete stament for images table as well.</t>
    </r>
  </si>
  <si>
    <t>1. Select picture icon in action column
2. Select Delete Image button</t>
  </si>
  <si>
    <t>Cake #16
Image: flower1</t>
  </si>
  <si>
    <t>Selected image is deleted from database and images folder, all other images remain.</t>
  </si>
  <si>
    <t>1. Select Testimonials from menu</t>
  </si>
  <si>
    <t>All testimonials are displayed</t>
  </si>
  <si>
    <t>1. Select + New Testimonial button
2. Enter text
3. Select Create Entry button</t>
  </si>
  <si>
    <t>Testimonial is created in data base, displays on testimonial page</t>
  </si>
  <si>
    <t>User is returned to testimonial page, testimonial no longer displays, is deleted from database table.</t>
  </si>
  <si>
    <r>
      <rPr>
        <b/>
        <sz val="11"/>
        <color theme="1"/>
        <rFont val="Calibri"/>
        <family val="2"/>
        <scheme val="minor"/>
      </rPr>
      <t>Issue:</t>
    </r>
    <r>
      <rPr>
        <sz val="11"/>
        <color theme="1"/>
        <rFont val="Calibri"/>
        <family val="2"/>
        <scheme val="minor"/>
      </rPr>
      <t xml:space="preserve"> Chosing No to delete took me to users page</t>
    </r>
    <r>
      <rPr>
        <b/>
        <sz val="11"/>
        <color theme="1"/>
        <rFont val="Calibri"/>
        <family val="2"/>
        <scheme val="minor"/>
      </rPr>
      <t xml:space="preserve">
Solution: </t>
    </r>
    <r>
      <rPr>
        <sz val="11"/>
        <color theme="1"/>
        <rFont val="Calibri"/>
        <family val="2"/>
        <scheme val="minor"/>
      </rPr>
      <t xml:space="preserve">Updated href file
</t>
    </r>
    <r>
      <rPr>
        <b/>
        <sz val="11"/>
        <color theme="1"/>
        <rFont val="Calibri"/>
        <family val="2"/>
        <scheme val="minor"/>
      </rPr>
      <t xml:space="preserve">
Issue:</t>
    </r>
    <r>
      <rPr>
        <sz val="11"/>
        <color theme="1"/>
        <rFont val="Calibri"/>
        <family val="2"/>
        <scheme val="minor"/>
      </rPr>
      <t xml:space="preserve"> Delete screen said "Delete User"
</t>
    </r>
    <r>
      <rPr>
        <b/>
        <sz val="11"/>
        <color theme="1"/>
        <rFont val="Calibri"/>
        <family val="2"/>
        <scheme val="minor"/>
      </rPr>
      <t>Solution:</t>
    </r>
    <r>
      <rPr>
        <sz val="11"/>
        <color theme="1"/>
        <rFont val="Calibri"/>
        <family val="2"/>
        <scheme val="minor"/>
      </rPr>
      <t xml:space="preserve"> Updated text in delete file</t>
    </r>
  </si>
  <si>
    <t>1. Select Company Info from menu</t>
  </si>
  <si>
    <t>Added XYZ to phone, email, location, facebook, instagram, cake page heading and description</t>
  </si>
  <si>
    <t>Records are updated and user redirected to Cakes landing page.</t>
  </si>
  <si>
    <t>As expected 
(I changed it all back again)</t>
  </si>
  <si>
    <t>1. Select Users from menu
2. Select + New User button
3. Enter user details
4. Logout
5. Log back in as new user</t>
  </si>
  <si>
    <t>Refer to screenshots, password: newbie123</t>
  </si>
  <si>
    <t xml:space="preserve">User list is diplayed initially.
New user is created, user can log in and access admin menu.
</t>
  </si>
  <si>
    <t>Name: New User, from UT.AD.15</t>
  </si>
  <si>
    <t>User is deleted from database and cannot log in.</t>
  </si>
  <si>
    <t>1. open URL: http://localhost/a8/ppcakes/index.php
2. Click on each menu item</t>
  </si>
  <si>
    <t>Refer to screen shots</t>
  </si>
  <si>
    <t>Selecting menu item should go to respective page.
Selecting Logo should stay on page.
Active page should be in bold.
Hovering over menu should change text colour and create shadow.</t>
  </si>
  <si>
    <t>Selecting menu item should go to respective page.
Selecting Logo should go to home page.
Active page should be in bold.
Hovering over menu should change text colour and create shadow.</t>
  </si>
  <si>
    <t>1. Review layout</t>
  </si>
  <si>
    <t>Footer text is centered, with social icons to the right.
Hovering over social icons should animate them. Clicking in the isons should open a new page and take user to respective web page.</t>
  </si>
  <si>
    <t>1. Check footer displays (functionality as per all pages as footer is an external php page)</t>
  </si>
  <si>
    <t>Footer displays correctly. Refer to test UT.PUB.3 for test results.</t>
  </si>
  <si>
    <t>1. Check footer displays
2. Select social media icons</t>
  </si>
  <si>
    <t>Main image should be clear. Should be a contrast to page body. Should have a shadow.
Tagline should be clear and transparent, aligned to the top right of the image.
Image should scroll with the page.</t>
  </si>
  <si>
    <t>1. Click on each menu item</t>
  </si>
  <si>
    <t>Title and paragraph text should come from database table.
All testimonials should display from database table.</t>
  </si>
  <si>
    <t>Title and paragraph text should come from database table.
An image and title should display for each category. Clicking on an image should take the user to the page for the category selected.</t>
  </si>
  <si>
    <t>Title and paragraph text should come from database table.
Each cake should show once, with an image.</t>
  </si>
  <si>
    <t>Error should be received when mandatory fields are not populated. 
Email format validated.
Date picker shows calendar.
Send button should send email to ruthop13@gmail.com.</t>
  </si>
  <si>
    <r>
      <rPr>
        <b/>
        <sz val="11"/>
        <color theme="1"/>
        <rFont val="Calibri"/>
        <family val="2"/>
        <scheme val="minor"/>
      </rPr>
      <t xml:space="preserve">Localhost error: </t>
    </r>
    <r>
      <rPr>
        <sz val="11"/>
        <color theme="1"/>
        <rFont val="Calibri"/>
        <family val="2"/>
        <scheme val="minor"/>
      </rPr>
      <t>Warning: mail(): Failed to connect to mailserver at "localhost" port 25, verify your "SMTP" and "smtp_port" setting in php.ini or use ini_set() in C:\xampp1\htdocs\A8\ppcakes\php\contact.php on line 65</t>
    </r>
  </si>
  <si>
    <t>Unit Testing (Chrome)</t>
  </si>
  <si>
    <t>AD.1</t>
  </si>
  <si>
    <t>AD.2</t>
  </si>
  <si>
    <t>AD.3</t>
  </si>
  <si>
    <t>AD.4</t>
  </si>
  <si>
    <t>AD.5</t>
  </si>
  <si>
    <t>AD.6.1</t>
  </si>
  <si>
    <t>AD.6.2</t>
  </si>
  <si>
    <t>AD.7.1</t>
  </si>
  <si>
    <t>AD.7.2</t>
  </si>
  <si>
    <t>AD.8.1</t>
  </si>
  <si>
    <t>AD.8.2</t>
  </si>
  <si>
    <t>AD.9</t>
  </si>
  <si>
    <t>AD.10</t>
  </si>
  <si>
    <t>AD.11</t>
  </si>
  <si>
    <t>AD.12</t>
  </si>
  <si>
    <t>AD.13</t>
  </si>
  <si>
    <t>AD.14</t>
  </si>
  <si>
    <t>AD.15</t>
  </si>
  <si>
    <t>AD.16</t>
  </si>
  <si>
    <t>PUB.1</t>
  </si>
  <si>
    <t>PUB.2</t>
  </si>
  <si>
    <t>PUB.3</t>
  </si>
  <si>
    <t>PUB.4</t>
  </si>
  <si>
    <t>PUB.5</t>
  </si>
  <si>
    <t>PUB.6</t>
  </si>
  <si>
    <t>PUB.7</t>
  </si>
  <si>
    <t>PUB.8</t>
  </si>
  <si>
    <t>PUB.9</t>
  </si>
  <si>
    <t>PUB.10</t>
  </si>
  <si>
    <t>PUB.11</t>
  </si>
  <si>
    <t>PUB.12</t>
  </si>
  <si>
    <t>PUB.13</t>
  </si>
  <si>
    <t>PUB.14</t>
  </si>
  <si>
    <t>PUB.15</t>
  </si>
  <si>
    <t>PUB.16</t>
  </si>
  <si>
    <t>PUB.17</t>
  </si>
  <si>
    <t>PUB.18</t>
  </si>
  <si>
    <t>Birthday
Test Cake
Test Cake
Test Cake
Test Cake</t>
  </si>
  <si>
    <t>Screen displays differently to chrome - see screenshots</t>
  </si>
  <si>
    <t>Cake #25, created in test AD.7.2</t>
  </si>
  <si>
    <t>Cake #16
Image: flower2</t>
  </si>
  <si>
    <r>
      <rPr>
        <b/>
        <sz val="11"/>
        <color theme="1"/>
        <rFont val="Calibri"/>
        <family val="2"/>
        <scheme val="minor"/>
      </rPr>
      <t xml:space="preserve">Error: </t>
    </r>
    <r>
      <rPr>
        <sz val="11"/>
        <color theme="1"/>
        <rFont val="Calibri"/>
        <family val="2"/>
        <scheme val="minor"/>
      </rPr>
      <t xml:space="preserve">Testimonials display with one word per line.
</t>
    </r>
    <r>
      <rPr>
        <b/>
        <sz val="11"/>
        <color theme="1"/>
        <rFont val="Calibri"/>
        <family val="2"/>
        <scheme val="minor"/>
      </rPr>
      <t xml:space="preserve">Solution: </t>
    </r>
    <r>
      <rPr>
        <sz val="11"/>
        <color theme="1"/>
        <rFont val="Calibri"/>
        <family val="2"/>
        <scheme val="minor"/>
      </rPr>
      <t>page was missing a &lt;/div&gt; tag</t>
    </r>
  </si>
  <si>
    <t>Footer text is centered, with social icons to the right.
Hovering over social icons should animate them. Clicking in the icons should open a new page and take user to respective web page.</t>
  </si>
  <si>
    <t>All Footer text is centered.
Clicking social media icons should take user to respective web page.</t>
  </si>
  <si>
    <t>Selecting menu item should go to respective page.
Selecting Logo should stay on page.
Selecting mobile menu should invoke menu list panel.
Active page should be in red text.</t>
  </si>
  <si>
    <t>Padding needs to increase above page title.</t>
  </si>
  <si>
    <t>Refer test PUB.1</t>
  </si>
  <si>
    <t>Refer test PUB.5</t>
  </si>
  <si>
    <r>
      <rPr>
        <b/>
        <sz val="11"/>
        <color theme="1"/>
        <rFont val="Calibri"/>
        <family val="2"/>
        <scheme val="minor"/>
      </rPr>
      <t>Issue:</t>
    </r>
    <r>
      <rPr>
        <sz val="11"/>
        <color theme="1"/>
        <rFont val="Calibri"/>
        <family val="2"/>
        <scheme val="minor"/>
      </rPr>
      <t xml:space="preserve"> Padding needs to increase above main image.</t>
    </r>
  </si>
  <si>
    <r>
      <rPr>
        <b/>
        <sz val="11"/>
        <color theme="1"/>
        <rFont val="Calibri"/>
        <family val="2"/>
        <scheme val="minor"/>
      </rPr>
      <t xml:space="preserve">Issue: </t>
    </r>
    <r>
      <rPr>
        <sz val="11"/>
        <color theme="1"/>
        <rFont val="Calibri"/>
        <family val="2"/>
        <scheme val="minor"/>
      </rPr>
      <t>Padding needs to increase above main image.</t>
    </r>
  </si>
  <si>
    <t>Portrait result (768 x 1024)</t>
  </si>
  <si>
    <t>Landscape result (1024 x 768)</t>
  </si>
  <si>
    <r>
      <rPr>
        <b/>
        <sz val="11"/>
        <color theme="1"/>
        <rFont val="Calibri"/>
        <family val="2"/>
        <scheme val="minor"/>
      </rPr>
      <t xml:space="preserve">Issue: </t>
    </r>
    <r>
      <rPr>
        <sz val="11"/>
        <color theme="1"/>
        <rFont val="Calibri"/>
        <family val="2"/>
        <scheme val="minor"/>
      </rPr>
      <t xml:space="preserve">Mobile menu appears but shouldnt. 
</t>
    </r>
    <r>
      <rPr>
        <b/>
        <sz val="11"/>
        <color theme="1"/>
        <rFont val="Calibri"/>
        <family val="2"/>
        <scheme val="minor"/>
      </rPr>
      <t xml:space="preserve">Solution: </t>
    </r>
    <r>
      <rPr>
        <sz val="11"/>
        <color theme="1"/>
        <rFont val="Calibri"/>
        <family val="2"/>
        <scheme val="minor"/>
      </rPr>
      <t>Remove mobile menu references from page</t>
    </r>
  </si>
  <si>
    <t>Functional Testing: Tablet</t>
  </si>
  <si>
    <t>Functional Testing: Phone</t>
  </si>
  <si>
    <r>
      <rPr>
        <b/>
        <sz val="11"/>
        <color theme="1"/>
        <rFont val="Calibri"/>
        <family val="2"/>
        <scheme val="minor"/>
      </rPr>
      <t>Issue:</t>
    </r>
    <r>
      <rPr>
        <sz val="11"/>
        <color theme="1"/>
        <rFont val="Calibri"/>
        <family val="2"/>
        <scheme val="minor"/>
      </rPr>
      <t xml:space="preserve"> Table width outside of container. Title too close to top.
</t>
    </r>
    <r>
      <rPr>
        <b/>
        <sz val="11"/>
        <color theme="1"/>
        <rFont val="Calibri"/>
        <family val="2"/>
        <scheme val="minor"/>
      </rPr>
      <t xml:space="preserve">Solution: </t>
    </r>
    <r>
      <rPr>
        <sz val="11"/>
        <color theme="1"/>
        <rFont val="Calibri"/>
        <family val="2"/>
        <scheme val="minor"/>
      </rPr>
      <t>added &lt;br&gt; to move trash icon to 2nd line. Added padding to first row.</t>
    </r>
  </si>
  <si>
    <r>
      <rPr>
        <b/>
        <sz val="11"/>
        <color theme="1"/>
        <rFont val="Calibri"/>
        <family val="2"/>
        <scheme val="minor"/>
      </rPr>
      <t>Issue:</t>
    </r>
    <r>
      <rPr>
        <sz val="11"/>
        <color theme="1"/>
        <rFont val="Calibri"/>
        <family val="2"/>
        <scheme val="minor"/>
      </rPr>
      <t xml:space="preserve"> Title too close to top.
Save changes and Cancel buttons stacked ontop of each other - should be spead apart.
</t>
    </r>
    <r>
      <rPr>
        <b/>
        <sz val="11"/>
        <color theme="1"/>
        <rFont val="Calibri"/>
        <family val="2"/>
        <scheme val="minor"/>
      </rPr>
      <t xml:space="preserve">Solution: </t>
    </r>
    <r>
      <rPr>
        <sz val="11"/>
        <color theme="1"/>
        <rFont val="Calibri"/>
        <family val="2"/>
        <scheme val="minor"/>
      </rPr>
      <t>Added padding to first row. Removed "lg" from column sizing</t>
    </r>
  </si>
  <si>
    <r>
      <rPr>
        <b/>
        <sz val="11"/>
        <color theme="1"/>
        <rFont val="Calibri"/>
        <family val="2"/>
        <scheme val="minor"/>
      </rPr>
      <t>Issue:</t>
    </r>
    <r>
      <rPr>
        <sz val="11"/>
        <color theme="1"/>
        <rFont val="Calibri"/>
        <family val="2"/>
        <scheme val="minor"/>
      </rPr>
      <t xml:space="preserve"> Title too close to top.
</t>
    </r>
    <r>
      <rPr>
        <b/>
        <sz val="11"/>
        <color theme="1"/>
        <rFont val="Calibri"/>
        <family val="2"/>
        <scheme val="minor"/>
      </rPr>
      <t xml:space="preserve">Solution: </t>
    </r>
    <r>
      <rPr>
        <sz val="11"/>
        <color theme="1"/>
        <rFont val="Calibri"/>
        <family val="2"/>
        <scheme val="minor"/>
      </rPr>
      <t>Added padding to first row. Removed "lg" from column sizing.</t>
    </r>
  </si>
  <si>
    <r>
      <rPr>
        <b/>
        <sz val="11"/>
        <color theme="1"/>
        <rFont val="Calibri"/>
        <family val="2"/>
        <scheme val="minor"/>
      </rPr>
      <t xml:space="preserve">Issue: </t>
    </r>
    <r>
      <rPr>
        <sz val="11"/>
        <color theme="1"/>
        <rFont val="Calibri"/>
        <family val="2"/>
        <scheme val="minor"/>
      </rPr>
      <t xml:space="preserve">Title too close to top,  button on next line, menu missing.
</t>
    </r>
    <r>
      <rPr>
        <b/>
        <sz val="11"/>
        <color theme="1"/>
        <rFont val="Calibri"/>
        <family val="2"/>
        <scheme val="minor"/>
      </rPr>
      <t>Solution:</t>
    </r>
    <r>
      <rPr>
        <sz val="11"/>
        <color theme="1"/>
        <rFont val="Calibri"/>
        <family val="2"/>
        <scheme val="minor"/>
      </rPr>
      <t xml:space="preserve"> Added padding to first row. Removed "lg" from column sizing. Added menu updates.</t>
    </r>
  </si>
  <si>
    <r>
      <rPr>
        <b/>
        <sz val="11"/>
        <color theme="1"/>
        <rFont val="Calibri"/>
        <family val="2"/>
        <scheme val="minor"/>
      </rPr>
      <t xml:space="preserve">Issue: </t>
    </r>
    <r>
      <rPr>
        <sz val="11"/>
        <color theme="1"/>
        <rFont val="Calibri"/>
        <family val="2"/>
        <scheme val="minor"/>
      </rPr>
      <t xml:space="preserve">Title too close to top,  button on next line, menu missing.
</t>
    </r>
    <r>
      <rPr>
        <b/>
        <sz val="11"/>
        <color theme="1"/>
        <rFont val="Calibri"/>
        <family val="2"/>
        <scheme val="minor"/>
      </rPr>
      <t xml:space="preserve">Solution: </t>
    </r>
    <r>
      <rPr>
        <sz val="11"/>
        <color theme="1"/>
        <rFont val="Calibri"/>
        <family val="2"/>
        <scheme val="minor"/>
      </rPr>
      <t>Added padding to first row. Removed "lg" from column sizing. Added menu updates.</t>
    </r>
  </si>
  <si>
    <r>
      <rPr>
        <b/>
        <sz val="11"/>
        <color theme="1"/>
        <rFont val="Calibri"/>
        <family val="2"/>
        <scheme val="minor"/>
      </rPr>
      <t>Issue:</t>
    </r>
    <r>
      <rPr>
        <sz val="11"/>
        <color theme="1"/>
        <rFont val="Calibri"/>
        <family val="2"/>
        <scheme val="minor"/>
      </rPr>
      <t xml:space="preserve"> Menu missing. Update and Cancel buttons stacked ontop of each other - should be spead apart.
</t>
    </r>
    <r>
      <rPr>
        <b/>
        <sz val="11"/>
        <color theme="1"/>
        <rFont val="Calibri"/>
        <family val="2"/>
        <scheme val="minor"/>
      </rPr>
      <t xml:space="preserve">Solution: </t>
    </r>
    <r>
      <rPr>
        <sz val="11"/>
        <color theme="1"/>
        <rFont val="Calibri"/>
        <family val="2"/>
        <scheme val="minor"/>
      </rPr>
      <t>Added menu updates. Removed "lg" from column sizing for button section.</t>
    </r>
  </si>
  <si>
    <t>Selecting menu item goes to respective page.
Selecting Logo should stays page.
Selecting mobile menu invokes menu list panel.
Active page is in red text.</t>
  </si>
  <si>
    <t>Refer to test PUB.3</t>
  </si>
  <si>
    <r>
      <rPr>
        <b/>
        <sz val="11"/>
        <color theme="1"/>
        <rFont val="Calibri"/>
        <family val="2"/>
        <scheme val="minor"/>
      </rPr>
      <t xml:space="preserve">Issue: </t>
    </r>
    <r>
      <rPr>
        <sz val="11"/>
        <color theme="1"/>
        <rFont val="Calibri"/>
        <family val="2"/>
        <scheme val="minor"/>
      </rPr>
      <t xml:space="preserve">Mobile menu is not aligned to the right side.
</t>
    </r>
    <r>
      <rPr>
        <b/>
        <sz val="11"/>
        <color theme="1"/>
        <rFont val="Calibri"/>
        <family val="2"/>
        <scheme val="minor"/>
      </rPr>
      <t xml:space="preserve">Solution: </t>
    </r>
    <r>
      <rPr>
        <sz val="11"/>
        <color theme="1"/>
        <rFont val="Calibri"/>
        <family val="2"/>
        <scheme val="minor"/>
      </rPr>
      <t>Added padding-top: 1rem, padding-left: 1rem.
py-md-3 px-sm-3 (for @media min-width: 768px)</t>
    </r>
  </si>
  <si>
    <r>
      <rPr>
        <b/>
        <sz val="11"/>
        <color theme="1"/>
        <rFont val="Calibri"/>
        <family val="2"/>
        <scheme val="minor"/>
      </rPr>
      <t xml:space="preserve">Issue: </t>
    </r>
    <r>
      <rPr>
        <sz val="11"/>
        <color theme="1"/>
        <rFont val="Calibri"/>
        <family val="2"/>
        <scheme val="minor"/>
      </rPr>
      <t xml:space="preserve">Mobile menu is not aligned to the right side.
</t>
    </r>
    <r>
      <rPr>
        <b/>
        <sz val="11"/>
        <color theme="1"/>
        <rFont val="Calibri"/>
        <family val="2"/>
        <scheme val="minor"/>
      </rPr>
      <t xml:space="preserve">Solution: </t>
    </r>
    <r>
      <rPr>
        <sz val="11"/>
        <color theme="1"/>
        <rFont val="Calibri"/>
        <family val="2"/>
        <scheme val="minor"/>
      </rPr>
      <t>Added padding-top: 1rem, padding-left: 1rem.
py-sm-3 px-sm-3 (for @media min-width: 576px)</t>
    </r>
  </si>
  <si>
    <r>
      <rPr>
        <b/>
        <sz val="11"/>
        <color theme="1"/>
        <rFont val="Calibri"/>
        <family val="2"/>
        <scheme val="minor"/>
      </rPr>
      <t xml:space="preserve">Issue: </t>
    </r>
    <r>
      <rPr>
        <sz val="11"/>
        <color theme="1"/>
        <rFont val="Calibri"/>
        <family val="2"/>
        <scheme val="minor"/>
      </rPr>
      <t xml:space="preserve">Images overlap container.
</t>
    </r>
    <r>
      <rPr>
        <b/>
        <sz val="11"/>
        <color theme="1"/>
        <rFont val="Calibri"/>
        <family val="2"/>
        <scheme val="minor"/>
      </rPr>
      <t xml:space="preserve">Solution: </t>
    </r>
    <r>
      <rPr>
        <sz val="11"/>
        <color theme="1"/>
        <rFont val="Calibri"/>
        <family val="2"/>
        <scheme val="minor"/>
      </rPr>
      <t>Updated "col-md-3" to "col-md-4 col-lg-3"</t>
    </r>
  </si>
  <si>
    <t>Format is fine - contact form needs fixing</t>
  </si>
  <si>
    <r>
      <rPr>
        <b/>
        <sz val="11"/>
        <color theme="1"/>
        <rFont val="Calibri"/>
        <family val="2"/>
        <scheme val="minor"/>
      </rPr>
      <t xml:space="preserve">Issue: </t>
    </r>
    <r>
      <rPr>
        <sz val="11"/>
        <color theme="1"/>
        <rFont val="Calibri"/>
        <family val="2"/>
        <scheme val="minor"/>
      </rPr>
      <t xml:space="preserve">Main image and text are not aligned - too much padding above text
</t>
    </r>
    <r>
      <rPr>
        <b/>
        <sz val="11"/>
        <color theme="1"/>
        <rFont val="Calibri"/>
        <family val="2"/>
        <scheme val="minor"/>
      </rPr>
      <t>Solution:</t>
    </r>
    <r>
      <rPr>
        <sz val="11"/>
        <color theme="1"/>
        <rFont val="Calibri"/>
        <family val="2"/>
        <scheme val="minor"/>
      </rPr>
      <t xml:space="preserve"> Updated padding for blurb</t>
    </r>
  </si>
  <si>
    <t>The Admin screens have not been tested for the phone view as this work should be done on a tablet or PC.</t>
  </si>
  <si>
    <t>Test Document: Assessment 8 - Final Project</t>
  </si>
  <si>
    <t>Plesk</t>
  </si>
  <si>
    <t>Testimonial text issue:</t>
  </si>
  <si>
    <t>Contact Form email content:</t>
  </si>
  <si>
    <t>Test1</t>
  </si>
  <si>
    <r>
      <rPr>
        <b/>
        <sz val="11"/>
        <color theme="1"/>
        <rFont val="Calibri"/>
        <family val="2"/>
        <scheme val="minor"/>
      </rPr>
      <t>Issue:</t>
    </r>
    <r>
      <rPr>
        <sz val="11"/>
        <color theme="1"/>
        <rFont val="Calibri"/>
        <family val="2"/>
        <scheme val="minor"/>
      </rPr>
      <t xml:space="preserve"> ' translated to question mark on screen display (refer screenshot below)
</t>
    </r>
    <r>
      <rPr>
        <b/>
        <sz val="11"/>
        <color theme="1"/>
        <rFont val="Calibri"/>
        <family val="2"/>
        <scheme val="minor"/>
      </rPr>
      <t>Solution:</t>
    </r>
    <r>
      <rPr>
        <sz val="11"/>
        <color theme="1"/>
        <rFont val="Calibri"/>
        <family val="2"/>
        <scheme val="minor"/>
      </rPr>
      <t xml:space="preserve"> removed ' from text</t>
    </r>
  </si>
  <si>
    <t>Final output</t>
  </si>
  <si>
    <t>Success message/landing page</t>
  </si>
  <si>
    <t>As per chrome</t>
  </si>
  <si>
    <t>Successful using Plesk</t>
  </si>
  <si>
    <t>Format is fine - successful on plesk</t>
  </si>
  <si>
    <t>Submit only works on plesk</t>
  </si>
  <si>
    <r>
      <rPr>
        <b/>
        <sz val="11"/>
        <color theme="1"/>
        <rFont val="Calibri"/>
        <family val="2"/>
        <scheme val="minor"/>
      </rPr>
      <t xml:space="preserve">Issues: </t>
    </r>
    <r>
      <rPr>
        <sz val="11"/>
        <color theme="1"/>
        <rFont val="Calibri"/>
        <family val="2"/>
        <scheme val="minor"/>
      </rPr>
      <t xml:space="preserve">Message sent, stayed on same page.
Email content in wrong places.
Phone number missing.
</t>
    </r>
    <r>
      <rPr>
        <b/>
        <sz val="11"/>
        <color theme="1"/>
        <rFont val="Calibri"/>
        <family val="2"/>
        <scheme val="minor"/>
      </rPr>
      <t xml:space="preserve">Solutions: 
</t>
    </r>
    <r>
      <rPr>
        <sz val="11"/>
        <color theme="1"/>
        <rFont val="Calibri"/>
        <family val="2"/>
        <scheme val="minor"/>
      </rPr>
      <t>Moved header("location: msg_sent.php").
Updated message formatting.</t>
    </r>
  </si>
  <si>
    <t>Title paragraph text should come from database table.
Images should carousel through themselves.
Send message button should go to contact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</si>
</sst>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5"/>
      <color theme="3"/>
      <name val="Calibri"/>
      <family val="2"/>
      <scheme val="minor"/>
    </font>
    <font>
      <b/>
      <sz val="11"/>
      <color theme="1"/>
      <name val="Calibri"/>
      <family val="2"/>
      <scheme val="minor"/>
    </font>
    <font>
      <sz val="11"/>
      <name val="Calibri"/>
      <family val="2"/>
      <scheme val="minor"/>
    </font>
    <font>
      <b/>
      <sz val="12"/>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8"/>
      <name val="Calibri"/>
      <family val="2"/>
      <scheme val="minor"/>
    </font>
    <font>
      <b/>
      <sz val="14"/>
      <name val="Calibri"/>
      <family val="2"/>
      <scheme val="minor"/>
    </font>
    <font>
      <b/>
      <sz val="11"/>
      <name val="Calibri"/>
      <family val="2"/>
      <scheme val="minor"/>
    </font>
    <font>
      <b/>
      <sz val="14"/>
      <color theme="1"/>
      <name val="Calibri"/>
      <family val="2"/>
      <scheme val="minor"/>
    </font>
    <font>
      <sz val="11"/>
      <color rgb="FF9C6500"/>
      <name val="Calibri"/>
      <family val="2"/>
      <scheme val="minor"/>
    </font>
    <font>
      <b/>
      <sz val="18"/>
      <name val="Calibri"/>
      <family val="2"/>
      <scheme val="minor"/>
    </font>
    <font>
      <sz val="18"/>
      <name val="Calibri"/>
      <family val="2"/>
      <scheme val="minor"/>
    </font>
    <font>
      <sz val="10"/>
      <color rgb="FF006100"/>
      <name val="Calibri"/>
      <family val="2"/>
      <scheme val="minor"/>
    </font>
    <font>
      <sz val="10"/>
      <color theme="1"/>
      <name val="Calibri"/>
      <family val="2"/>
      <scheme val="minor"/>
    </font>
    <font>
      <sz val="10"/>
      <name val="Calibri"/>
      <family val="2"/>
      <scheme val="minor"/>
    </font>
    <font>
      <b/>
      <sz val="10"/>
      <color theme="1"/>
      <name val="Calibri"/>
      <family val="2"/>
      <scheme val="minor"/>
    </font>
    <font>
      <sz val="14"/>
      <color theme="1"/>
      <name val="Calibri"/>
      <family val="2"/>
      <scheme val="minor"/>
    </font>
    <font>
      <b/>
      <sz val="18"/>
      <color theme="1"/>
      <name val="Calibri"/>
      <family val="2"/>
      <scheme val="minor"/>
    </font>
    <font>
      <sz val="9"/>
      <color indexed="81"/>
      <name val="Tahoma"/>
      <family val="2"/>
    </font>
    <font>
      <b/>
      <sz val="9"/>
      <color indexed="81"/>
      <name val="Tahoma"/>
      <family val="2"/>
    </font>
    <font>
      <sz val="10"/>
      <color rgb="FF9C0006"/>
      <name val="Calibri"/>
      <family val="2"/>
      <scheme val="minor"/>
    </font>
    <font>
      <sz val="10"/>
      <color rgb="FF9C6500"/>
      <name val="Calibri"/>
      <family val="2"/>
      <scheme val="minor"/>
    </font>
  </fonts>
  <fills count="18">
    <fill>
      <patternFill patternType="none"/>
    </fill>
    <fill>
      <patternFill patternType="gray125"/>
    </fill>
    <fill>
      <patternFill patternType="solid">
        <fgColor rgb="FFFFEB9C"/>
      </patternFill>
    </fill>
    <fill>
      <patternFill patternType="solid">
        <fgColor theme="8" tint="0.59999389629810485"/>
        <bgColor indexed="64"/>
      </patternFill>
    </fill>
    <fill>
      <patternFill patternType="solid">
        <fgColor theme="8" tint="0.39997558519241921"/>
        <bgColor indexed="64"/>
      </patternFill>
    </fill>
    <fill>
      <patternFill patternType="solid">
        <fgColor rgb="FFC6EFCE"/>
      </patternFill>
    </fill>
    <fill>
      <patternFill patternType="solid">
        <fgColor rgb="FFFFC7CE"/>
      </patternFill>
    </fill>
    <fill>
      <patternFill patternType="solid">
        <fgColor theme="5" tint="0.79998168889431442"/>
        <bgColor indexed="65"/>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0000"/>
        <bgColor indexed="64"/>
      </patternFill>
    </fill>
  </fills>
  <borders count="5">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1" fillId="0" borderId="1" applyNumberFormat="0" applyFill="0" applyAlignment="0" applyProtection="0"/>
    <xf numFmtId="9" fontId="5" fillId="0" borderId="0" applyFont="0" applyFill="0" applyBorder="0" applyAlignment="0" applyProtection="0"/>
    <xf numFmtId="0" fontId="6" fillId="5" borderId="0" applyNumberFormat="0" applyBorder="0" applyAlignment="0" applyProtection="0"/>
    <xf numFmtId="0" fontId="7" fillId="6" borderId="0" applyNumberFormat="0" applyBorder="0" applyAlignment="0" applyProtection="0"/>
    <xf numFmtId="0" fontId="5" fillId="7" borderId="0" applyNumberFormat="0" applyBorder="0" applyAlignment="0" applyProtection="0"/>
    <xf numFmtId="0" fontId="12" fillId="2" borderId="0" applyNumberFormat="0" applyBorder="0" applyAlignment="0" applyProtection="0"/>
  </cellStyleXfs>
  <cellXfs count="80">
    <xf numFmtId="0" fontId="0" fillId="0" borderId="0" xfId="0"/>
    <xf numFmtId="0" fontId="0" fillId="0" borderId="0" xfId="0" applyAlignment="1">
      <alignment horizontal="left" vertical="top"/>
    </xf>
    <xf numFmtId="0" fontId="0" fillId="0" borderId="2" xfId="0" applyBorder="1" applyAlignment="1">
      <alignment horizontal="left" vertical="top"/>
    </xf>
    <xf numFmtId="0" fontId="0" fillId="0" borderId="0" xfId="0" applyAlignment="1">
      <alignment horizontal="left" vertical="top" wrapText="1"/>
    </xf>
    <xf numFmtId="0" fontId="3" fillId="0" borderId="2" xfId="0" applyFont="1" applyBorder="1" applyAlignment="1">
      <alignment horizontal="left" vertical="top" wrapText="1"/>
    </xf>
    <xf numFmtId="0" fontId="9" fillId="0" borderId="0" xfId="1" applyFont="1" applyBorder="1" applyAlignment="1">
      <alignment horizontal="left" vertical="top"/>
    </xf>
    <xf numFmtId="0" fontId="3" fillId="0" borderId="0" xfId="0" applyFont="1" applyAlignment="1">
      <alignment horizontal="left" vertical="top"/>
    </xf>
    <xf numFmtId="0" fontId="10" fillId="0" borderId="0" xfId="1" applyFont="1" applyBorder="1" applyAlignment="1">
      <alignment horizontal="right" vertical="top"/>
    </xf>
    <xf numFmtId="0" fontId="10" fillId="11" borderId="2" xfId="1" applyFont="1" applyFill="1" applyBorder="1" applyAlignment="1">
      <alignment horizontal="left" vertical="top"/>
    </xf>
    <xf numFmtId="0" fontId="11" fillId="0" borderId="0" xfId="0" applyFont="1" applyAlignment="1">
      <alignment horizontal="left" vertical="top"/>
    </xf>
    <xf numFmtId="49" fontId="2" fillId="0" borderId="0" xfId="0" applyNumberFormat="1" applyFont="1" applyAlignment="1">
      <alignment horizontal="left" vertical="top"/>
    </xf>
    <xf numFmtId="0" fontId="6" fillId="5" borderId="0" xfId="3" applyAlignment="1">
      <alignment horizontal="left" vertical="top"/>
    </xf>
    <xf numFmtId="0" fontId="0" fillId="0" borderId="0" xfId="0" applyAlignment="1">
      <alignment horizontal="center" vertical="top"/>
    </xf>
    <xf numFmtId="0" fontId="5" fillId="7" borderId="0" xfId="5" applyAlignment="1">
      <alignment horizontal="left" vertical="top"/>
    </xf>
    <xf numFmtId="9" fontId="0" fillId="0" borderId="0" xfId="2" applyFont="1" applyAlignment="1">
      <alignment horizontal="left" vertical="top"/>
    </xf>
    <xf numFmtId="0" fontId="12" fillId="2" borderId="0" xfId="6" applyAlignment="1">
      <alignment horizontal="left" vertical="top"/>
    </xf>
    <xf numFmtId="0" fontId="7" fillId="6" borderId="0" xfId="4" applyAlignment="1">
      <alignment horizontal="left" vertical="top"/>
    </xf>
    <xf numFmtId="49" fontId="2" fillId="13" borderId="2" xfId="0" applyNumberFormat="1" applyFont="1" applyFill="1" applyBorder="1" applyAlignment="1">
      <alignment horizontal="left" vertical="top" wrapText="1"/>
    </xf>
    <xf numFmtId="0" fontId="2" fillId="13" borderId="2" xfId="0" applyFont="1" applyFill="1" applyBorder="1" applyAlignment="1">
      <alignment horizontal="left" vertical="top"/>
    </xf>
    <xf numFmtId="0" fontId="2" fillId="13" borderId="2" xfId="0" applyFont="1" applyFill="1" applyBorder="1" applyAlignment="1">
      <alignment horizontal="left" vertical="top" wrapText="1"/>
    </xf>
    <xf numFmtId="0" fontId="2" fillId="0" borderId="0" xfId="0" applyFont="1" applyAlignment="1">
      <alignment horizontal="left" vertical="top"/>
    </xf>
    <xf numFmtId="0" fontId="0" fillId="0" borderId="2" xfId="0" applyFill="1" applyBorder="1" applyAlignment="1">
      <alignment horizontal="left" vertical="top" wrapText="1"/>
    </xf>
    <xf numFmtId="0" fontId="2" fillId="0" borderId="0" xfId="0" applyFont="1" applyFill="1" applyAlignment="1">
      <alignment horizontal="left" vertical="top"/>
    </xf>
    <xf numFmtId="0" fontId="10" fillId="0" borderId="0" xfId="1" applyFont="1" applyBorder="1" applyAlignment="1">
      <alignment horizontal="center" vertical="top"/>
    </xf>
    <xf numFmtId="0" fontId="3" fillId="0" borderId="0" xfId="0" applyFont="1" applyAlignment="1">
      <alignment horizontal="center" vertical="top"/>
    </xf>
    <xf numFmtId="0" fontId="3" fillId="12" borderId="2" xfId="1" applyFont="1" applyFill="1" applyBorder="1" applyAlignment="1">
      <alignment horizontal="center" vertical="top"/>
    </xf>
    <xf numFmtId="0" fontId="2" fillId="11" borderId="2" xfId="0" applyFont="1" applyFill="1" applyBorder="1" applyAlignment="1">
      <alignment horizontal="left" vertical="center"/>
    </xf>
    <xf numFmtId="49" fontId="2" fillId="13" borderId="2" xfId="0" applyNumberFormat="1" applyFont="1" applyFill="1" applyBorder="1" applyAlignment="1">
      <alignment horizontal="center" vertical="top" wrapText="1"/>
    </xf>
    <xf numFmtId="0" fontId="0" fillId="0" borderId="2" xfId="0" applyFont="1" applyFill="1" applyBorder="1" applyAlignment="1">
      <alignment horizontal="left" vertical="top"/>
    </xf>
    <xf numFmtId="0" fontId="0" fillId="0" borderId="2" xfId="0" applyFont="1" applyFill="1" applyBorder="1" applyAlignment="1">
      <alignment horizontal="center" vertical="top"/>
    </xf>
    <xf numFmtId="0" fontId="14" fillId="0" borderId="0" xfId="0" applyFont="1" applyAlignment="1">
      <alignment horizontal="left" vertical="top"/>
    </xf>
    <xf numFmtId="9" fontId="3" fillId="0" borderId="0" xfId="2" applyFont="1" applyAlignment="1">
      <alignment horizontal="center" vertical="top"/>
    </xf>
    <xf numFmtId="9" fontId="3" fillId="12" borderId="2" xfId="2" applyFont="1" applyFill="1" applyBorder="1" applyAlignment="1">
      <alignment horizontal="center" vertical="top"/>
    </xf>
    <xf numFmtId="0" fontId="17" fillId="0" borderId="2" xfId="0" applyFont="1" applyBorder="1" applyAlignment="1">
      <alignment horizontal="left" vertical="top" wrapText="1"/>
    </xf>
    <xf numFmtId="0" fontId="16" fillId="0" borderId="0" xfId="0" applyFont="1" applyAlignment="1">
      <alignment horizontal="left" vertical="top"/>
    </xf>
    <xf numFmtId="0" fontId="15" fillId="0" borderId="2" xfId="3" applyFont="1" applyFill="1" applyBorder="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xf>
    <xf numFmtId="0" fontId="16" fillId="0" borderId="2" xfId="0" applyFont="1" applyFill="1" applyBorder="1" applyAlignment="1">
      <alignment horizontal="left" vertical="top"/>
    </xf>
    <xf numFmtId="0" fontId="3" fillId="0" borderId="0" xfId="1" applyFont="1" applyBorder="1" applyAlignment="1">
      <alignment horizontal="center" vertical="top"/>
    </xf>
    <xf numFmtId="0" fontId="19" fillId="0" borderId="0" xfId="0" applyFont="1" applyAlignment="1">
      <alignment horizontal="left" vertical="top"/>
    </xf>
    <xf numFmtId="0" fontId="2" fillId="8" borderId="2" xfId="0" applyFont="1" applyFill="1" applyBorder="1" applyAlignment="1">
      <alignment horizontal="left" vertical="top"/>
    </xf>
    <xf numFmtId="0" fontId="0" fillId="0" borderId="2" xfId="0" applyFill="1" applyBorder="1" applyAlignment="1">
      <alignment vertical="top"/>
    </xf>
    <xf numFmtId="0" fontId="20" fillId="8" borderId="3" xfId="1" applyFont="1" applyFill="1" applyBorder="1" applyAlignment="1">
      <alignment horizontal="left" vertical="top"/>
    </xf>
    <xf numFmtId="0" fontId="13" fillId="8" borderId="4" xfId="1" applyFont="1" applyFill="1" applyBorder="1" applyAlignment="1">
      <alignment horizontal="left" vertical="top"/>
    </xf>
    <xf numFmtId="0" fontId="14" fillId="8" borderId="4" xfId="0" applyFont="1" applyFill="1" applyBorder="1" applyAlignment="1">
      <alignment horizontal="left" vertical="top"/>
    </xf>
    <xf numFmtId="0" fontId="14" fillId="8" borderId="4" xfId="0" applyFont="1" applyFill="1" applyBorder="1" applyAlignment="1">
      <alignment horizontal="center" vertical="top"/>
    </xf>
    <xf numFmtId="0" fontId="0" fillId="0" borderId="2" xfId="0" applyFont="1" applyFill="1" applyBorder="1" applyAlignment="1">
      <alignment horizontal="left" vertical="top" wrapText="1"/>
    </xf>
    <xf numFmtId="0" fontId="0" fillId="0" borderId="2" xfId="0" applyFill="1" applyBorder="1" applyAlignment="1">
      <alignment vertical="top" wrapText="1"/>
    </xf>
    <xf numFmtId="0" fontId="0" fillId="0" borderId="2" xfId="0" applyFont="1" applyFill="1" applyBorder="1" applyAlignment="1">
      <alignment horizontal="center" vertical="top" wrapText="1"/>
    </xf>
    <xf numFmtId="0" fontId="11" fillId="0" borderId="0" xfId="0" applyFont="1" applyAlignment="1">
      <alignment horizontal="left" vertical="top" wrapText="1"/>
    </xf>
    <xf numFmtId="0" fontId="0" fillId="0" borderId="0" xfId="0" applyFont="1" applyAlignment="1">
      <alignment horizontal="left" vertical="top"/>
    </xf>
    <xf numFmtId="9" fontId="5" fillId="0" borderId="0" xfId="2" applyFont="1" applyAlignment="1">
      <alignment horizontal="left" vertical="top"/>
    </xf>
    <xf numFmtId="0" fontId="16" fillId="0" borderId="2" xfId="0" applyFont="1" applyBorder="1" applyAlignment="1">
      <alignment horizontal="left" vertical="top"/>
    </xf>
    <xf numFmtId="0" fontId="0" fillId="0" borderId="0" xfId="0" applyFill="1" applyAlignment="1">
      <alignment vertical="top" wrapText="1"/>
    </xf>
    <xf numFmtId="0" fontId="16" fillId="0" borderId="2" xfId="0" applyFont="1" applyFill="1" applyBorder="1" applyAlignment="1">
      <alignment vertical="top"/>
    </xf>
    <xf numFmtId="0" fontId="16" fillId="0" borderId="2" xfId="0" applyFont="1" applyFill="1" applyBorder="1" applyAlignment="1">
      <alignment vertical="top" wrapText="1"/>
    </xf>
    <xf numFmtId="0" fontId="18" fillId="9" borderId="2" xfId="0" applyFont="1" applyFill="1" applyBorder="1" applyAlignment="1">
      <alignment horizontal="center" wrapText="1"/>
    </xf>
    <xf numFmtId="0" fontId="18" fillId="3" borderId="2" xfId="0" applyFont="1" applyFill="1" applyBorder="1" applyAlignment="1">
      <alignment horizontal="center" wrapText="1"/>
    </xf>
    <xf numFmtId="0" fontId="16" fillId="3" borderId="2" xfId="3" applyFont="1" applyFill="1" applyBorder="1" applyAlignment="1">
      <alignment horizontal="center" vertical="top" wrapText="1"/>
    </xf>
    <xf numFmtId="0" fontId="17" fillId="0" borderId="0" xfId="0" applyFont="1" applyAlignment="1">
      <alignment horizontal="left"/>
    </xf>
    <xf numFmtId="0" fontId="15" fillId="5" borderId="0" xfId="3" applyFont="1" applyAlignment="1">
      <alignment horizontal="left" vertical="top"/>
    </xf>
    <xf numFmtId="0" fontId="16" fillId="7" borderId="0" xfId="5" applyFont="1" applyAlignment="1">
      <alignment horizontal="left" vertical="top"/>
    </xf>
    <xf numFmtId="0" fontId="24" fillId="2" borderId="0" xfId="6" applyFont="1" applyAlignment="1">
      <alignment horizontal="left" vertical="top"/>
    </xf>
    <xf numFmtId="0" fontId="23" fillId="6" borderId="0" xfId="4" applyFont="1" applyAlignment="1">
      <alignment horizontal="left" vertical="top"/>
    </xf>
    <xf numFmtId="0" fontId="18" fillId="14" borderId="2" xfId="0" applyFont="1" applyFill="1" applyBorder="1" applyAlignment="1">
      <alignment horizontal="center" wrapText="1"/>
    </xf>
    <xf numFmtId="0" fontId="18" fillId="15" borderId="2" xfId="0" applyFont="1" applyFill="1" applyBorder="1" applyAlignment="1">
      <alignment horizontal="center" wrapText="1"/>
    </xf>
    <xf numFmtId="0" fontId="14" fillId="0" borderId="0" xfId="0" applyFont="1" applyAlignment="1">
      <alignment horizontal="center" vertical="top"/>
    </xf>
    <xf numFmtId="0" fontId="16" fillId="0" borderId="2" xfId="0" applyFont="1" applyBorder="1" applyAlignment="1">
      <alignment horizontal="center" vertical="top" wrapText="1"/>
    </xf>
    <xf numFmtId="0" fontId="0" fillId="15" borderId="0" xfId="0" applyFill="1" applyAlignment="1">
      <alignment horizontal="left" vertical="top"/>
    </xf>
    <xf numFmtId="0" fontId="2" fillId="15" borderId="0" xfId="0" applyFont="1" applyFill="1" applyAlignment="1">
      <alignment horizontal="left" vertical="top"/>
    </xf>
    <xf numFmtId="0" fontId="0" fillId="16" borderId="0" xfId="0" applyFill="1" applyAlignment="1">
      <alignment horizontal="left" vertical="top"/>
    </xf>
    <xf numFmtId="0" fontId="0" fillId="17" borderId="0" xfId="0" applyFill="1" applyAlignment="1">
      <alignment horizontal="left" vertical="top"/>
    </xf>
    <xf numFmtId="0" fontId="16" fillId="0" borderId="2" xfId="0" applyFont="1" applyBorder="1" applyAlignment="1">
      <alignment horizontal="left" vertical="top"/>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16" fillId="0" borderId="2" xfId="0" applyFont="1" applyBorder="1" applyAlignment="1">
      <alignment horizontal="left" vertical="top" wrapText="1"/>
    </xf>
    <xf numFmtId="0" fontId="18" fillId="11" borderId="2" xfId="0" applyFont="1" applyFill="1" applyBorder="1" applyAlignment="1">
      <alignment horizontal="left" vertical="top"/>
    </xf>
  </cellXfs>
  <cellStyles count="7">
    <cellStyle name="20% - Accent2" xfId="5" builtinId="34"/>
    <cellStyle name="Bad" xfId="4" builtinId="27"/>
    <cellStyle name="Good" xfId="3" builtinId="26"/>
    <cellStyle name="Heading 1" xfId="1" builtinId="16"/>
    <cellStyle name="Neutral 2" xfId="6" xr:uid="{8B43D83C-2424-4C7C-B8AA-84CDAC56E6CD}"/>
    <cellStyle name="Normal" xfId="0" builtinId="0"/>
    <cellStyle name="Percent" xfId="2" builtinId="5"/>
  </cellStyles>
  <dxfs count="731">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5" tint="0.7999816888943144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59996337778862885"/>
        </patternFill>
      </fill>
    </dxf>
    <dxf>
      <font>
        <color theme="1"/>
      </font>
      <fill>
        <patternFill>
          <bgColor theme="5" tint="0.59996337778862885"/>
        </patternFill>
      </fill>
    </dxf>
  </dxfs>
  <tableStyles count="0" defaultTableStyle="TableStyleMedium2" defaultPivotStyle="PivotStyleLight16"/>
  <colors>
    <mruColors>
      <color rgb="FFFF66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116415</xdr:colOff>
      <xdr:row>41</xdr:row>
      <xdr:rowOff>74083</xdr:rowOff>
    </xdr:from>
    <xdr:to>
      <xdr:col>7</xdr:col>
      <xdr:colOff>50713</xdr:colOff>
      <xdr:row>59</xdr:row>
      <xdr:rowOff>154700</xdr:rowOff>
    </xdr:to>
    <xdr:pic>
      <xdr:nvPicPr>
        <xdr:cNvPr id="2" name="Picture 1">
          <a:extLst>
            <a:ext uri="{FF2B5EF4-FFF2-40B4-BE49-F238E27FC236}">
              <a16:creationId xmlns:a16="http://schemas.microsoft.com/office/drawing/2014/main" id="{08243650-CF69-46F8-91CE-41D26449768C}"/>
            </a:ext>
          </a:extLst>
        </xdr:cNvPr>
        <xdr:cNvPicPr>
          <a:picLocks noChangeAspect="1"/>
        </xdr:cNvPicPr>
      </xdr:nvPicPr>
      <xdr:blipFill>
        <a:blip xmlns:r="http://schemas.openxmlformats.org/officeDocument/2006/relationships" r:embed="rId1"/>
        <a:stretch>
          <a:fillRect/>
        </a:stretch>
      </xdr:blipFill>
      <xdr:spPr>
        <a:xfrm>
          <a:off x="116415" y="5270500"/>
          <a:ext cx="7332048" cy="3509617"/>
        </a:xfrm>
        <a:prstGeom prst="rect">
          <a:avLst/>
        </a:prstGeom>
      </xdr:spPr>
    </xdr:pic>
    <xdr:clientData/>
  </xdr:twoCellAnchor>
  <xdr:twoCellAnchor editAs="oneCell">
    <xdr:from>
      <xdr:col>0</xdr:col>
      <xdr:colOff>47625</xdr:colOff>
      <xdr:row>63</xdr:row>
      <xdr:rowOff>22225</xdr:rowOff>
    </xdr:from>
    <xdr:to>
      <xdr:col>5</xdr:col>
      <xdr:colOff>916911</xdr:colOff>
      <xdr:row>78</xdr:row>
      <xdr:rowOff>155201</xdr:rowOff>
    </xdr:to>
    <xdr:pic>
      <xdr:nvPicPr>
        <xdr:cNvPr id="3" name="Picture 2">
          <a:extLst>
            <a:ext uri="{FF2B5EF4-FFF2-40B4-BE49-F238E27FC236}">
              <a16:creationId xmlns:a16="http://schemas.microsoft.com/office/drawing/2014/main" id="{3300C88F-C833-41C6-80F9-AD975CB7A447}"/>
            </a:ext>
          </a:extLst>
        </xdr:cNvPr>
        <xdr:cNvPicPr>
          <a:picLocks noChangeAspect="1"/>
        </xdr:cNvPicPr>
      </xdr:nvPicPr>
      <xdr:blipFill>
        <a:blip xmlns:r="http://schemas.openxmlformats.org/officeDocument/2006/relationships" r:embed="rId2"/>
        <a:stretch>
          <a:fillRect/>
        </a:stretch>
      </xdr:blipFill>
      <xdr:spPr>
        <a:xfrm>
          <a:off x="47625" y="9404350"/>
          <a:ext cx="5307936" cy="2990476"/>
        </a:xfrm>
        <a:prstGeom prst="rect">
          <a:avLst/>
        </a:prstGeom>
      </xdr:spPr>
    </xdr:pic>
    <xdr:clientData/>
  </xdr:twoCellAnchor>
  <xdr:twoCellAnchor editAs="oneCell">
    <xdr:from>
      <xdr:col>0</xdr:col>
      <xdr:colOff>9092</xdr:colOff>
      <xdr:row>82</xdr:row>
      <xdr:rowOff>66674</xdr:rowOff>
    </xdr:from>
    <xdr:to>
      <xdr:col>8</xdr:col>
      <xdr:colOff>103326</xdr:colOff>
      <xdr:row>108</xdr:row>
      <xdr:rowOff>189711</xdr:rowOff>
    </xdr:to>
    <xdr:pic>
      <xdr:nvPicPr>
        <xdr:cNvPr id="5" name="Picture 4">
          <a:extLst>
            <a:ext uri="{FF2B5EF4-FFF2-40B4-BE49-F238E27FC236}">
              <a16:creationId xmlns:a16="http://schemas.microsoft.com/office/drawing/2014/main" id="{EDC9590A-39DC-4996-89EC-075A7560BFEB}"/>
            </a:ext>
          </a:extLst>
        </xdr:cNvPr>
        <xdr:cNvPicPr>
          <a:picLocks noChangeAspect="1"/>
        </xdr:cNvPicPr>
      </xdr:nvPicPr>
      <xdr:blipFill>
        <a:blip xmlns:r="http://schemas.openxmlformats.org/officeDocument/2006/relationships" r:embed="rId3"/>
        <a:stretch>
          <a:fillRect/>
        </a:stretch>
      </xdr:blipFill>
      <xdr:spPr>
        <a:xfrm>
          <a:off x="9092" y="15163799"/>
          <a:ext cx="9323959" cy="5076037"/>
        </a:xfrm>
        <a:prstGeom prst="rect">
          <a:avLst/>
        </a:prstGeom>
      </xdr:spPr>
    </xdr:pic>
    <xdr:clientData/>
  </xdr:twoCellAnchor>
  <xdr:twoCellAnchor editAs="oneCell">
    <xdr:from>
      <xdr:col>6</xdr:col>
      <xdr:colOff>19050</xdr:colOff>
      <xdr:row>63</xdr:row>
      <xdr:rowOff>38100</xdr:rowOff>
    </xdr:from>
    <xdr:to>
      <xdr:col>8</xdr:col>
      <xdr:colOff>761445</xdr:colOff>
      <xdr:row>79</xdr:row>
      <xdr:rowOff>66290</xdr:rowOff>
    </xdr:to>
    <xdr:pic>
      <xdr:nvPicPr>
        <xdr:cNvPr id="4" name="Picture 3">
          <a:extLst>
            <a:ext uri="{FF2B5EF4-FFF2-40B4-BE49-F238E27FC236}">
              <a16:creationId xmlns:a16="http://schemas.microsoft.com/office/drawing/2014/main" id="{20195316-93B9-42B4-819D-3096B5086C62}"/>
            </a:ext>
          </a:extLst>
        </xdr:cNvPr>
        <xdr:cNvPicPr>
          <a:picLocks noChangeAspect="1"/>
        </xdr:cNvPicPr>
      </xdr:nvPicPr>
      <xdr:blipFill>
        <a:blip xmlns:r="http://schemas.openxmlformats.org/officeDocument/2006/relationships" r:embed="rId4"/>
        <a:stretch>
          <a:fillRect/>
        </a:stretch>
      </xdr:blipFill>
      <xdr:spPr>
        <a:xfrm>
          <a:off x="5553075" y="7896225"/>
          <a:ext cx="4438095" cy="3076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F459-4269-433A-94A2-5044AB6B06B3}">
  <sheetPr>
    <tabColor rgb="FFFFFF00"/>
  </sheetPr>
  <dimension ref="A1:I49"/>
  <sheetViews>
    <sheetView tabSelected="1" zoomScaleNormal="100" workbookViewId="0">
      <pane xSplit="3" ySplit="7" topLeftCell="D8" activePane="bottomRight" state="frozen"/>
      <selection pane="topRight" activeCell="E1" sqref="E1"/>
      <selection pane="bottomLeft" activeCell="A7" sqref="A7"/>
      <selection pane="bottomRight" activeCell="C15" sqref="C15"/>
    </sheetView>
  </sheetViews>
  <sheetFormatPr defaultRowHeight="15" x14ac:dyDescent="0.25"/>
  <cols>
    <col min="1" max="1" width="30.5703125" style="1" customWidth="1"/>
    <col min="2" max="2" width="8.42578125" style="1" customWidth="1"/>
    <col min="3" max="3" width="39" style="1" customWidth="1"/>
    <col min="4" max="4" width="10.7109375" style="12" customWidth="1"/>
    <col min="5" max="7" width="10.7109375" style="1" customWidth="1"/>
    <col min="8" max="8" width="9.140625" style="12" customWidth="1"/>
    <col min="9" max="9" width="11.85546875" style="34" customWidth="1"/>
    <col min="10" max="16384" width="9.140625" style="1"/>
  </cols>
  <sheetData>
    <row r="1" spans="1:9" s="30" customFormat="1" ht="23.25" x14ac:dyDescent="0.2">
      <c r="A1" s="43" t="s">
        <v>214</v>
      </c>
      <c r="B1" s="44"/>
      <c r="C1" s="45"/>
      <c r="D1" s="46"/>
      <c r="E1" s="45"/>
      <c r="F1" s="45"/>
      <c r="G1" s="45"/>
      <c r="H1" s="67"/>
      <c r="I1" s="60"/>
    </row>
    <row r="2" spans="1:9" s="6" customFormat="1" x14ac:dyDescent="0.25">
      <c r="D2" s="23"/>
      <c r="H2" s="24"/>
      <c r="I2" s="61" t="s">
        <v>4</v>
      </c>
    </row>
    <row r="3" spans="1:9" s="6" customFormat="1" x14ac:dyDescent="0.25">
      <c r="A3" s="8" t="s">
        <v>3</v>
      </c>
      <c r="B3" s="25">
        <f>SUM(D3:G3)</f>
        <v>124</v>
      </c>
      <c r="C3" s="7" t="s">
        <v>3</v>
      </c>
      <c r="D3" s="39">
        <f>'Unit Testing'!B2</f>
        <v>37</v>
      </c>
      <c r="E3" s="24">
        <f>IE!B2</f>
        <v>37</v>
      </c>
      <c r="F3" s="24">
        <f>Phone!B2</f>
        <v>18</v>
      </c>
      <c r="G3" s="24">
        <f>Tablet!B2</f>
        <v>32</v>
      </c>
      <c r="H3" s="24"/>
      <c r="I3" s="62" t="s">
        <v>8</v>
      </c>
    </row>
    <row r="4" spans="1:9" s="6" customFormat="1" x14ac:dyDescent="0.25">
      <c r="A4" s="8" t="s">
        <v>4</v>
      </c>
      <c r="B4" s="25">
        <f>SUM(D4:G4)</f>
        <v>124</v>
      </c>
      <c r="C4" s="7" t="s">
        <v>4</v>
      </c>
      <c r="D4" s="39">
        <f>'Unit Testing'!B3</f>
        <v>37</v>
      </c>
      <c r="E4" s="24">
        <f>IE!B3</f>
        <v>37</v>
      </c>
      <c r="F4" s="24">
        <f>Phone!B3</f>
        <v>18</v>
      </c>
      <c r="G4" s="24">
        <f>Tablet!B3</f>
        <v>32</v>
      </c>
      <c r="H4" s="24"/>
      <c r="I4" s="63" t="s">
        <v>10</v>
      </c>
    </row>
    <row r="5" spans="1:9" s="6" customFormat="1" x14ac:dyDescent="0.25">
      <c r="A5" s="8" t="s">
        <v>5</v>
      </c>
      <c r="B5" s="32">
        <f>B4/B3</f>
        <v>1</v>
      </c>
      <c r="C5" s="7" t="s">
        <v>5</v>
      </c>
      <c r="D5" s="31">
        <f>D4/D3</f>
        <v>1</v>
      </c>
      <c r="E5" s="31">
        <f t="shared" ref="E5:G5" si="0">E4/E3</f>
        <v>1</v>
      </c>
      <c r="F5" s="31">
        <f t="shared" si="0"/>
        <v>1</v>
      </c>
      <c r="G5" s="31">
        <f t="shared" si="0"/>
        <v>1</v>
      </c>
      <c r="H5" s="24"/>
      <c r="I5" s="64" t="s">
        <v>11</v>
      </c>
    </row>
    <row r="6" spans="1:9" ht="30" customHeight="1" x14ac:dyDescent="0.25">
      <c r="D6" s="74" t="s">
        <v>21</v>
      </c>
      <c r="E6" s="75"/>
      <c r="F6" s="76" t="s">
        <v>20</v>
      </c>
      <c r="G6" s="77"/>
    </row>
    <row r="7" spans="1:9" s="3" customFormat="1" ht="28.5" customHeight="1" x14ac:dyDescent="0.2">
      <c r="A7" s="26" t="s">
        <v>13</v>
      </c>
      <c r="B7" s="26" t="s">
        <v>0</v>
      </c>
      <c r="C7" s="26" t="s">
        <v>19</v>
      </c>
      <c r="D7" s="65" t="s">
        <v>144</v>
      </c>
      <c r="E7" s="57" t="s">
        <v>1</v>
      </c>
      <c r="F7" s="58" t="s">
        <v>2</v>
      </c>
      <c r="G7" s="58" t="s">
        <v>17</v>
      </c>
      <c r="H7" s="66" t="s">
        <v>215</v>
      </c>
      <c r="I7" s="36"/>
    </row>
    <row r="8" spans="1:9" s="36" customFormat="1" ht="12.75" x14ac:dyDescent="0.25">
      <c r="A8" s="55" t="s">
        <v>33</v>
      </c>
      <c r="B8" s="53" t="s">
        <v>145</v>
      </c>
      <c r="C8" s="33"/>
      <c r="D8" s="35" t="str">
        <f>'Unit Testing'!D8</f>
        <v>Tested</v>
      </c>
      <c r="E8" s="35" t="str">
        <f>IE!D8</f>
        <v>Tested</v>
      </c>
      <c r="F8" s="59" t="s">
        <v>35</v>
      </c>
      <c r="G8" s="35" t="str">
        <f>Tablet!D8</f>
        <v>Tested</v>
      </c>
      <c r="H8" s="68" t="str">
        <f>Plesk!D8</f>
        <v>Tested</v>
      </c>
    </row>
    <row r="9" spans="1:9" s="36" customFormat="1" ht="12.75" x14ac:dyDescent="0.25">
      <c r="A9" s="55" t="s">
        <v>47</v>
      </c>
      <c r="B9" s="53" t="s">
        <v>146</v>
      </c>
      <c r="C9" s="33"/>
      <c r="D9" s="35" t="str">
        <f>'Unit Testing'!D9</f>
        <v>Tested</v>
      </c>
      <c r="E9" s="35" t="str">
        <f>IE!D9</f>
        <v>Tested</v>
      </c>
      <c r="F9" s="59" t="s">
        <v>35</v>
      </c>
      <c r="G9" s="59" t="s">
        <v>35</v>
      </c>
      <c r="H9" s="59" t="s">
        <v>35</v>
      </c>
    </row>
    <row r="10" spans="1:9" s="36" customFormat="1" ht="12.75" x14ac:dyDescent="0.25">
      <c r="A10" s="55" t="s">
        <v>36</v>
      </c>
      <c r="B10" s="53" t="s">
        <v>147</v>
      </c>
      <c r="C10" s="33"/>
      <c r="D10" s="35" t="str">
        <f>'Unit Testing'!D10</f>
        <v>Tested</v>
      </c>
      <c r="E10" s="35" t="str">
        <f>IE!D10</f>
        <v>Tested</v>
      </c>
      <c r="F10" s="59" t="s">
        <v>35</v>
      </c>
      <c r="G10" s="35" t="str">
        <f>Tablet!D9</f>
        <v>Tested</v>
      </c>
      <c r="H10" s="68" t="str">
        <f>Plesk!D9</f>
        <v>Tested</v>
      </c>
    </row>
    <row r="11" spans="1:9" s="36" customFormat="1" ht="25.5" x14ac:dyDescent="0.25">
      <c r="A11" s="56" t="s">
        <v>64</v>
      </c>
      <c r="B11" s="53" t="s">
        <v>148</v>
      </c>
      <c r="C11" s="38"/>
      <c r="D11" s="35" t="str">
        <f>'Unit Testing'!D11</f>
        <v>Tested</v>
      </c>
      <c r="E11" s="35" t="str">
        <f>IE!D11</f>
        <v>Tested</v>
      </c>
      <c r="F11" s="59" t="s">
        <v>35</v>
      </c>
      <c r="G11" s="59" t="s">
        <v>35</v>
      </c>
      <c r="H11" s="59" t="s">
        <v>35</v>
      </c>
    </row>
    <row r="12" spans="1:9" s="36" customFormat="1" ht="12.75" x14ac:dyDescent="0.25">
      <c r="A12" s="55" t="s">
        <v>37</v>
      </c>
      <c r="B12" s="53" t="s">
        <v>149</v>
      </c>
      <c r="C12" s="33"/>
      <c r="D12" s="35" t="str">
        <f>'Unit Testing'!D12</f>
        <v>Tested</v>
      </c>
      <c r="E12" s="35" t="str">
        <f>IE!D12</f>
        <v>Tested</v>
      </c>
      <c r="F12" s="59" t="s">
        <v>35</v>
      </c>
      <c r="G12" s="35" t="str">
        <f>Tablet!D10</f>
        <v>Tested</v>
      </c>
      <c r="H12" s="68" t="str">
        <f>Plesk!D10</f>
        <v>Tested</v>
      </c>
    </row>
    <row r="13" spans="1:9" s="36" customFormat="1" ht="12.75" x14ac:dyDescent="0.25">
      <c r="A13" s="55" t="s">
        <v>88</v>
      </c>
      <c r="B13" s="53" t="s">
        <v>150</v>
      </c>
      <c r="C13" s="33"/>
      <c r="D13" s="35" t="str">
        <f>'Unit Testing'!D13</f>
        <v>Tested</v>
      </c>
      <c r="E13" s="35" t="str">
        <f>IE!D13</f>
        <v>Tested</v>
      </c>
      <c r="F13" s="59" t="s">
        <v>35</v>
      </c>
      <c r="G13" s="59" t="s">
        <v>35</v>
      </c>
      <c r="H13" s="59" t="s">
        <v>35</v>
      </c>
    </row>
    <row r="14" spans="1:9" s="36" customFormat="1" ht="12.75" x14ac:dyDescent="0.25">
      <c r="A14" s="55" t="s">
        <v>38</v>
      </c>
      <c r="B14" s="53" t="s">
        <v>151</v>
      </c>
      <c r="C14" s="33"/>
      <c r="D14" s="35" t="str">
        <f>'Unit Testing'!D14</f>
        <v>Tested</v>
      </c>
      <c r="E14" s="35" t="str">
        <f>IE!D14</f>
        <v>Tested</v>
      </c>
      <c r="F14" s="59" t="s">
        <v>35</v>
      </c>
      <c r="G14" s="35" t="str">
        <f>Tablet!D11</f>
        <v>Tested</v>
      </c>
      <c r="H14" s="68" t="str">
        <f>Plesk!D11</f>
        <v>Tested</v>
      </c>
    </row>
    <row r="15" spans="1:9" s="36" customFormat="1" ht="12.75" x14ac:dyDescent="0.25">
      <c r="A15" s="55" t="s">
        <v>98</v>
      </c>
      <c r="B15" s="53" t="s">
        <v>152</v>
      </c>
      <c r="C15" s="33"/>
      <c r="D15" s="35" t="str">
        <f>'Unit Testing'!D15</f>
        <v>Tested</v>
      </c>
      <c r="E15" s="35" t="str">
        <f>IE!D15</f>
        <v>Tested</v>
      </c>
      <c r="F15" s="59" t="s">
        <v>35</v>
      </c>
      <c r="G15" s="59" t="s">
        <v>35</v>
      </c>
      <c r="H15" s="59" t="s">
        <v>35</v>
      </c>
    </row>
    <row r="16" spans="1:9" s="36" customFormat="1" ht="12.75" x14ac:dyDescent="0.25">
      <c r="A16" s="55" t="s">
        <v>40</v>
      </c>
      <c r="B16" s="53" t="s">
        <v>153</v>
      </c>
      <c r="C16" s="33"/>
      <c r="D16" s="35" t="str">
        <f>'Unit Testing'!D16</f>
        <v>Tested</v>
      </c>
      <c r="E16" s="35" t="str">
        <f>IE!D16</f>
        <v>Tested</v>
      </c>
      <c r="F16" s="59" t="s">
        <v>35</v>
      </c>
      <c r="G16" s="35" t="str">
        <f>Tablet!D12</f>
        <v>Tested</v>
      </c>
      <c r="H16" s="68" t="str">
        <f>Plesk!D12</f>
        <v>Tested</v>
      </c>
    </row>
    <row r="17" spans="1:8" s="36" customFormat="1" ht="12.75" x14ac:dyDescent="0.25">
      <c r="A17" s="55" t="s">
        <v>105</v>
      </c>
      <c r="B17" s="53" t="s">
        <v>154</v>
      </c>
      <c r="C17" s="33"/>
      <c r="D17" s="35" t="str">
        <f>'Unit Testing'!D17</f>
        <v>Tested</v>
      </c>
      <c r="E17" s="35" t="str">
        <f>IE!D17</f>
        <v>Tested</v>
      </c>
      <c r="F17" s="59" t="s">
        <v>35</v>
      </c>
      <c r="G17" s="59" t="s">
        <v>35</v>
      </c>
      <c r="H17" s="59" t="s">
        <v>35</v>
      </c>
    </row>
    <row r="18" spans="1:8" s="36" customFormat="1" ht="12.75" x14ac:dyDescent="0.25">
      <c r="A18" s="55" t="s">
        <v>39</v>
      </c>
      <c r="B18" s="53" t="s">
        <v>155</v>
      </c>
      <c r="C18" s="33"/>
      <c r="D18" s="35" t="str">
        <f>'Unit Testing'!D18</f>
        <v>Tested</v>
      </c>
      <c r="E18" s="35" t="str">
        <f>IE!D18</f>
        <v>Tested</v>
      </c>
      <c r="F18" s="59" t="s">
        <v>35</v>
      </c>
      <c r="G18" s="35" t="str">
        <f>Tablet!D13</f>
        <v>Tested</v>
      </c>
      <c r="H18" s="68" t="str">
        <f>Plesk!D13</f>
        <v>Tested</v>
      </c>
    </row>
    <row r="19" spans="1:8" s="36" customFormat="1" ht="12.75" x14ac:dyDescent="0.25">
      <c r="A19" s="55" t="s">
        <v>61</v>
      </c>
      <c r="B19" s="53" t="s">
        <v>156</v>
      </c>
      <c r="C19" s="33"/>
      <c r="D19" s="35" t="str">
        <f>'Unit Testing'!D19</f>
        <v>Tested</v>
      </c>
      <c r="E19" s="35" t="str">
        <f>IE!D19</f>
        <v>Tested</v>
      </c>
      <c r="F19" s="59" t="s">
        <v>35</v>
      </c>
      <c r="G19" s="35" t="str">
        <f>Tablet!D14</f>
        <v>Tested</v>
      </c>
      <c r="H19" s="68" t="str">
        <f>Plesk!D14</f>
        <v>Tested</v>
      </c>
    </row>
    <row r="20" spans="1:8" s="36" customFormat="1" ht="12.75" x14ac:dyDescent="0.25">
      <c r="A20" s="55" t="s">
        <v>41</v>
      </c>
      <c r="B20" s="53" t="s">
        <v>157</v>
      </c>
      <c r="C20" s="33"/>
      <c r="D20" s="35" t="str">
        <f>'Unit Testing'!D20</f>
        <v>Tested</v>
      </c>
      <c r="E20" s="35" t="str">
        <f>IE!D20</f>
        <v>Tested</v>
      </c>
      <c r="F20" s="59" t="s">
        <v>35</v>
      </c>
      <c r="G20" s="35" t="str">
        <f>Tablet!D15</f>
        <v>Tested</v>
      </c>
      <c r="H20" s="68" t="str">
        <f>Plesk!D15</f>
        <v>Tested</v>
      </c>
    </row>
    <row r="21" spans="1:8" s="36" customFormat="1" ht="12.75" x14ac:dyDescent="0.25">
      <c r="A21" s="55" t="s">
        <v>42</v>
      </c>
      <c r="B21" s="53" t="s">
        <v>158</v>
      </c>
      <c r="C21" s="38"/>
      <c r="D21" s="35" t="str">
        <f>'Unit Testing'!D21</f>
        <v>Tested</v>
      </c>
      <c r="E21" s="35" t="str">
        <f>IE!D21</f>
        <v>Tested</v>
      </c>
      <c r="F21" s="59" t="s">
        <v>35</v>
      </c>
      <c r="G21" s="35" t="str">
        <f>Tablet!D16</f>
        <v>Tested</v>
      </c>
      <c r="H21" s="68" t="str">
        <f>Plesk!D16</f>
        <v>Tested</v>
      </c>
    </row>
    <row r="22" spans="1:8" s="36" customFormat="1" ht="12.75" x14ac:dyDescent="0.25">
      <c r="A22" s="55" t="s">
        <v>44</v>
      </c>
      <c r="B22" s="53" t="s">
        <v>159</v>
      </c>
      <c r="C22" s="33"/>
      <c r="D22" s="35" t="str">
        <f>'Unit Testing'!D22</f>
        <v>Tested</v>
      </c>
      <c r="E22" s="35" t="str">
        <f>IE!D22</f>
        <v>Tested</v>
      </c>
      <c r="F22" s="59" t="s">
        <v>35</v>
      </c>
      <c r="G22" s="35" t="str">
        <f>Tablet!D17</f>
        <v>Tested</v>
      </c>
      <c r="H22" s="68" t="str">
        <f>Plesk!D17</f>
        <v>Tested</v>
      </c>
    </row>
    <row r="23" spans="1:8" s="36" customFormat="1" ht="12.75" x14ac:dyDescent="0.25">
      <c r="A23" s="55" t="s">
        <v>43</v>
      </c>
      <c r="B23" s="53" t="s">
        <v>160</v>
      </c>
      <c r="C23" s="33"/>
      <c r="D23" s="35" t="str">
        <f>'Unit Testing'!D23</f>
        <v>Tested</v>
      </c>
      <c r="E23" s="35" t="str">
        <f>IE!D23</f>
        <v>Tested</v>
      </c>
      <c r="F23" s="59" t="s">
        <v>35</v>
      </c>
      <c r="G23" s="35" t="str">
        <f>Tablet!D18</f>
        <v>Tested</v>
      </c>
      <c r="H23" s="68" t="str">
        <f>Plesk!D18</f>
        <v>Tested</v>
      </c>
    </row>
    <row r="24" spans="1:8" s="36" customFormat="1" ht="12.75" x14ac:dyDescent="0.25">
      <c r="A24" s="55" t="s">
        <v>60</v>
      </c>
      <c r="B24" s="53" t="s">
        <v>161</v>
      </c>
      <c r="C24" s="33"/>
      <c r="D24" s="35" t="str">
        <f>'Unit Testing'!D24</f>
        <v>Tested</v>
      </c>
      <c r="E24" s="35" t="str">
        <f>IE!D24</f>
        <v>Tested</v>
      </c>
      <c r="F24" s="59" t="s">
        <v>35</v>
      </c>
      <c r="G24" s="35" t="str">
        <f>Tablet!D19</f>
        <v>Tested</v>
      </c>
      <c r="H24" s="68" t="str">
        <f>Plesk!D19</f>
        <v>Tested</v>
      </c>
    </row>
    <row r="25" spans="1:8" s="36" customFormat="1" ht="12.75" x14ac:dyDescent="0.25">
      <c r="A25" s="55" t="s">
        <v>57</v>
      </c>
      <c r="B25" s="53" t="s">
        <v>162</v>
      </c>
      <c r="C25" s="33"/>
      <c r="D25" s="35" t="str">
        <f>'Unit Testing'!D25</f>
        <v>Tested</v>
      </c>
      <c r="E25" s="35" t="str">
        <f>IE!D25</f>
        <v>Tested</v>
      </c>
      <c r="F25" s="59" t="s">
        <v>35</v>
      </c>
      <c r="G25" s="35" t="str">
        <f>Tablet!D20</f>
        <v>Tested</v>
      </c>
      <c r="H25" s="68" t="str">
        <f>Plesk!D20</f>
        <v>Tested</v>
      </c>
    </row>
    <row r="26" spans="1:8" s="36" customFormat="1" ht="12.75" x14ac:dyDescent="0.25">
      <c r="A26" s="55" t="s">
        <v>56</v>
      </c>
      <c r="B26" s="53" t="s">
        <v>163</v>
      </c>
      <c r="C26" s="33"/>
      <c r="D26" s="35" t="str">
        <f>'Unit Testing'!D26</f>
        <v>Tested</v>
      </c>
      <c r="E26" s="35" t="str">
        <f>IE!D26</f>
        <v>Tested</v>
      </c>
      <c r="F26" s="59" t="s">
        <v>35</v>
      </c>
      <c r="G26" s="35" t="str">
        <f>Tablet!D21</f>
        <v>Tested</v>
      </c>
      <c r="H26" s="68" t="str">
        <f>Plesk!D21</f>
        <v>Tested</v>
      </c>
    </row>
    <row r="27" spans="1:8" s="36" customFormat="1" ht="12.75" x14ac:dyDescent="0.25">
      <c r="A27" s="55" t="s">
        <v>68</v>
      </c>
      <c r="B27" s="53" t="s">
        <v>164</v>
      </c>
      <c r="C27" s="33"/>
      <c r="D27" s="35" t="str">
        <f>'Unit Testing'!D27</f>
        <v>Tested</v>
      </c>
      <c r="E27" s="35" t="str">
        <f>IE!D27</f>
        <v>Tested</v>
      </c>
      <c r="F27" s="35" t="str">
        <f>Phone!D8</f>
        <v>Tested</v>
      </c>
      <c r="G27" s="35" t="str">
        <f>Tablet!D22</f>
        <v>Tested</v>
      </c>
      <c r="H27" s="68" t="str">
        <f>Plesk!D22</f>
        <v>Tested</v>
      </c>
    </row>
    <row r="28" spans="1:8" s="36" customFormat="1" ht="12.75" x14ac:dyDescent="0.25">
      <c r="A28" s="55" t="s">
        <v>69</v>
      </c>
      <c r="B28" s="53" t="s">
        <v>165</v>
      </c>
      <c r="C28" s="33"/>
      <c r="D28" s="35" t="str">
        <f>'Unit Testing'!D28</f>
        <v>Tested</v>
      </c>
      <c r="E28" s="35" t="str">
        <f>IE!D28</f>
        <v>Tested</v>
      </c>
      <c r="F28" s="35" t="str">
        <f>Phone!D9</f>
        <v>Tested</v>
      </c>
      <c r="G28" s="35" t="str">
        <f>Tablet!D23</f>
        <v>Tested</v>
      </c>
      <c r="H28" s="68" t="str">
        <f>Plesk!D23</f>
        <v>Tested</v>
      </c>
    </row>
    <row r="29" spans="1:8" s="36" customFormat="1" ht="12.75" x14ac:dyDescent="0.25">
      <c r="A29" s="55" t="s">
        <v>70</v>
      </c>
      <c r="B29" s="53" t="s">
        <v>166</v>
      </c>
      <c r="C29" s="33"/>
      <c r="D29" s="35" t="str">
        <f>'Unit Testing'!D29</f>
        <v>Tested</v>
      </c>
      <c r="E29" s="35" t="str">
        <f>IE!D29</f>
        <v>Tested</v>
      </c>
      <c r="F29" s="35" t="str">
        <f>Phone!D10</f>
        <v>Tested</v>
      </c>
      <c r="G29" s="35" t="str">
        <f>Tablet!D24</f>
        <v>Tested</v>
      </c>
      <c r="H29" s="68" t="str">
        <f>Plesk!D24</f>
        <v>Tested</v>
      </c>
    </row>
    <row r="30" spans="1:8" s="36" customFormat="1" ht="12.75" x14ac:dyDescent="0.25">
      <c r="A30" s="55" t="s">
        <v>71</v>
      </c>
      <c r="B30" s="53" t="s">
        <v>167</v>
      </c>
      <c r="C30" s="33"/>
      <c r="D30" s="35" t="str">
        <f>'Unit Testing'!D30</f>
        <v>Tested</v>
      </c>
      <c r="E30" s="35" t="str">
        <f>IE!D30</f>
        <v>Tested</v>
      </c>
      <c r="F30" s="35" t="str">
        <f>Phone!D11</f>
        <v>Tested</v>
      </c>
      <c r="G30" s="35" t="str">
        <f>Tablet!D25</f>
        <v>Tested</v>
      </c>
      <c r="H30" s="68" t="str">
        <f>Plesk!D25</f>
        <v>Tested</v>
      </c>
    </row>
    <row r="31" spans="1:8" s="36" customFormat="1" ht="12.75" x14ac:dyDescent="0.25">
      <c r="A31" s="55" t="s">
        <v>72</v>
      </c>
      <c r="B31" s="53" t="s">
        <v>168</v>
      </c>
      <c r="C31" s="33"/>
      <c r="D31" s="35" t="str">
        <f>'Unit Testing'!D31</f>
        <v>Tested</v>
      </c>
      <c r="E31" s="35" t="str">
        <f>IE!D31</f>
        <v>Tested</v>
      </c>
      <c r="F31" s="35" t="str">
        <f>Phone!D12</f>
        <v>Tested</v>
      </c>
      <c r="G31" s="35" t="str">
        <f>Tablet!D26</f>
        <v>Tested</v>
      </c>
      <c r="H31" s="68" t="str">
        <f>Plesk!D26</f>
        <v>Tested</v>
      </c>
    </row>
    <row r="32" spans="1:8" s="36" customFormat="1" ht="12.75" x14ac:dyDescent="0.25">
      <c r="A32" s="55" t="s">
        <v>73</v>
      </c>
      <c r="B32" s="53" t="s">
        <v>169</v>
      </c>
      <c r="C32" s="33"/>
      <c r="D32" s="35" t="str">
        <f>'Unit Testing'!D32</f>
        <v>Tested</v>
      </c>
      <c r="E32" s="35" t="str">
        <f>IE!D32</f>
        <v>Tested</v>
      </c>
      <c r="F32" s="35" t="str">
        <f>Phone!D13</f>
        <v>Tested</v>
      </c>
      <c r="G32" s="35" t="str">
        <f>Tablet!D27</f>
        <v>Tested</v>
      </c>
      <c r="H32" s="68" t="str">
        <f>Plesk!D27</f>
        <v>Tested</v>
      </c>
    </row>
    <row r="33" spans="1:8" s="36" customFormat="1" ht="12.75" x14ac:dyDescent="0.25">
      <c r="A33" s="55" t="s">
        <v>74</v>
      </c>
      <c r="B33" s="53" t="s">
        <v>170</v>
      </c>
      <c r="C33" s="33"/>
      <c r="D33" s="35" t="str">
        <f>'Unit Testing'!D33</f>
        <v>Tested</v>
      </c>
      <c r="E33" s="35" t="str">
        <f>IE!D33</f>
        <v>Tested</v>
      </c>
      <c r="F33" s="35" t="str">
        <f>Phone!D14</f>
        <v>Tested</v>
      </c>
      <c r="G33" s="35" t="str">
        <f>Tablet!D28</f>
        <v>Tested</v>
      </c>
      <c r="H33" s="68" t="str">
        <f>Plesk!D28</f>
        <v>Tested</v>
      </c>
    </row>
    <row r="34" spans="1:8" s="36" customFormat="1" ht="12.75" x14ac:dyDescent="0.25">
      <c r="A34" s="55" t="s">
        <v>75</v>
      </c>
      <c r="B34" s="53" t="s">
        <v>171</v>
      </c>
      <c r="C34" s="33"/>
      <c r="D34" s="35" t="str">
        <f>'Unit Testing'!D34</f>
        <v>Tested</v>
      </c>
      <c r="E34" s="35" t="str">
        <f>IE!D34</f>
        <v>Tested</v>
      </c>
      <c r="F34" s="35" t="str">
        <f>Phone!D15</f>
        <v>Tested</v>
      </c>
      <c r="G34" s="35" t="str">
        <f>Tablet!D29</f>
        <v>Tested</v>
      </c>
      <c r="H34" s="68" t="str">
        <f>Plesk!D29</f>
        <v>Tested</v>
      </c>
    </row>
    <row r="35" spans="1:8" s="36" customFormat="1" ht="12.75" x14ac:dyDescent="0.25">
      <c r="A35" s="55" t="s">
        <v>76</v>
      </c>
      <c r="B35" s="53" t="s">
        <v>172</v>
      </c>
      <c r="C35" s="33"/>
      <c r="D35" s="35" t="str">
        <f>'Unit Testing'!D35</f>
        <v>Tested</v>
      </c>
      <c r="E35" s="35" t="str">
        <f>IE!D35</f>
        <v>Tested</v>
      </c>
      <c r="F35" s="35" t="str">
        <f>Phone!D16</f>
        <v>Tested</v>
      </c>
      <c r="G35" s="35" t="str">
        <f>Tablet!D30</f>
        <v>Tested</v>
      </c>
      <c r="H35" s="68" t="str">
        <f>Plesk!D30</f>
        <v>Tested</v>
      </c>
    </row>
    <row r="36" spans="1:8" s="36" customFormat="1" ht="12.75" x14ac:dyDescent="0.25">
      <c r="A36" s="55" t="s">
        <v>77</v>
      </c>
      <c r="B36" s="53" t="s">
        <v>173</v>
      </c>
      <c r="C36" s="33"/>
      <c r="D36" s="35" t="str">
        <f>'Unit Testing'!D36</f>
        <v>Tested</v>
      </c>
      <c r="E36" s="35" t="str">
        <f>IE!D36</f>
        <v>Tested</v>
      </c>
      <c r="F36" s="35" t="str">
        <f>Phone!D17</f>
        <v>Tested</v>
      </c>
      <c r="G36" s="35" t="str">
        <f>Tablet!D31</f>
        <v>Tested</v>
      </c>
      <c r="H36" s="68" t="str">
        <f>Plesk!D31</f>
        <v>Tested</v>
      </c>
    </row>
    <row r="37" spans="1:8" s="36" customFormat="1" ht="12.75" x14ac:dyDescent="0.25">
      <c r="A37" s="55" t="s">
        <v>78</v>
      </c>
      <c r="B37" s="53" t="s">
        <v>174</v>
      </c>
      <c r="C37" s="33"/>
      <c r="D37" s="35" t="str">
        <f>'Unit Testing'!D37</f>
        <v>Tested</v>
      </c>
      <c r="E37" s="35" t="str">
        <f>IE!D37</f>
        <v>Tested</v>
      </c>
      <c r="F37" s="35" t="str">
        <f>Phone!D18</f>
        <v>Tested</v>
      </c>
      <c r="G37" s="35" t="str">
        <f>Tablet!D32</f>
        <v>Tested</v>
      </c>
      <c r="H37" s="68" t="str">
        <f>Plesk!D32</f>
        <v>Tested</v>
      </c>
    </row>
    <row r="38" spans="1:8" s="36" customFormat="1" ht="12.75" x14ac:dyDescent="0.25">
      <c r="A38" s="55" t="s">
        <v>79</v>
      </c>
      <c r="B38" s="53" t="s">
        <v>175</v>
      </c>
      <c r="C38" s="33"/>
      <c r="D38" s="35" t="str">
        <f>'Unit Testing'!D38</f>
        <v>Tested</v>
      </c>
      <c r="E38" s="35" t="str">
        <f>IE!D38</f>
        <v>Tested</v>
      </c>
      <c r="F38" s="35" t="str">
        <f>Phone!D19</f>
        <v>Tested</v>
      </c>
      <c r="G38" s="35" t="str">
        <f>Tablet!D33</f>
        <v>Tested</v>
      </c>
      <c r="H38" s="68" t="str">
        <f>Plesk!D33</f>
        <v>Tested</v>
      </c>
    </row>
    <row r="39" spans="1:8" s="36" customFormat="1" ht="12.75" x14ac:dyDescent="0.25">
      <c r="A39" s="55" t="s">
        <v>80</v>
      </c>
      <c r="B39" s="53" t="s">
        <v>176</v>
      </c>
      <c r="C39" s="33"/>
      <c r="D39" s="35" t="str">
        <f>'Unit Testing'!D39</f>
        <v>Tested</v>
      </c>
      <c r="E39" s="35" t="str">
        <f>IE!D39</f>
        <v>Tested</v>
      </c>
      <c r="F39" s="35" t="str">
        <f>Phone!D20</f>
        <v>Tested</v>
      </c>
      <c r="G39" s="35" t="str">
        <f>Tablet!D34</f>
        <v>Tested</v>
      </c>
      <c r="H39" s="68" t="str">
        <f>Plesk!D34</f>
        <v>Tested</v>
      </c>
    </row>
    <row r="40" spans="1:8" s="36" customFormat="1" ht="12.75" x14ac:dyDescent="0.25">
      <c r="A40" s="55" t="s">
        <v>81</v>
      </c>
      <c r="B40" s="53" t="s">
        <v>177</v>
      </c>
      <c r="C40" s="33"/>
      <c r="D40" s="35" t="str">
        <f>'Unit Testing'!D40</f>
        <v>Tested</v>
      </c>
      <c r="E40" s="35" t="str">
        <f>IE!D40</f>
        <v>Tested</v>
      </c>
      <c r="F40" s="35" t="str">
        <f>Phone!D21</f>
        <v>Tested</v>
      </c>
      <c r="G40" s="35" t="str">
        <f>Tablet!D35</f>
        <v>Tested</v>
      </c>
      <c r="H40" s="68" t="str">
        <f>Plesk!D35</f>
        <v>Tested</v>
      </c>
    </row>
    <row r="41" spans="1:8" s="36" customFormat="1" ht="12.75" x14ac:dyDescent="0.25">
      <c r="A41" s="55" t="s">
        <v>82</v>
      </c>
      <c r="B41" s="53" t="s">
        <v>178</v>
      </c>
      <c r="C41" s="33"/>
      <c r="D41" s="35" t="str">
        <f>'Unit Testing'!D41</f>
        <v>Tested</v>
      </c>
      <c r="E41" s="35" t="str">
        <f>IE!D41</f>
        <v>Tested</v>
      </c>
      <c r="F41" s="35" t="str">
        <f>Phone!D22</f>
        <v>Tested</v>
      </c>
      <c r="G41" s="35" t="str">
        <f>Tablet!D36</f>
        <v>Tested</v>
      </c>
      <c r="H41" s="68" t="str">
        <f>Plesk!D36</f>
        <v>Tested</v>
      </c>
    </row>
    <row r="42" spans="1:8" s="36" customFormat="1" ht="12.75" x14ac:dyDescent="0.25">
      <c r="A42" s="55" t="s">
        <v>83</v>
      </c>
      <c r="B42" s="53" t="s">
        <v>179</v>
      </c>
      <c r="C42" s="33"/>
      <c r="D42" s="35" t="str">
        <f>'Unit Testing'!D42</f>
        <v>Tested</v>
      </c>
      <c r="E42" s="35" t="str">
        <f>IE!D42</f>
        <v>Tested</v>
      </c>
      <c r="F42" s="35" t="str">
        <f>Phone!D23</f>
        <v>Tested</v>
      </c>
      <c r="G42" s="35" t="str">
        <f>Tablet!D37</f>
        <v>Tested</v>
      </c>
      <c r="H42" s="68" t="str">
        <f>Plesk!D37</f>
        <v>Tested</v>
      </c>
    </row>
    <row r="43" spans="1:8" s="36" customFormat="1" ht="12.75" x14ac:dyDescent="0.25">
      <c r="A43" s="55" t="s">
        <v>84</v>
      </c>
      <c r="B43" s="53" t="s">
        <v>180</v>
      </c>
      <c r="C43" s="33" t="s">
        <v>225</v>
      </c>
      <c r="D43" s="35" t="str">
        <f>'Unit Testing'!D43</f>
        <v>Tested</v>
      </c>
      <c r="E43" s="35" t="str">
        <f>IE!D43</f>
        <v>Tested</v>
      </c>
      <c r="F43" s="35" t="str">
        <f>Phone!D24</f>
        <v>Tested</v>
      </c>
      <c r="G43" s="35" t="str">
        <f>Tablet!D38</f>
        <v>Tested</v>
      </c>
      <c r="H43" s="68" t="str">
        <f>Plesk!D38</f>
        <v>Tested</v>
      </c>
    </row>
    <row r="44" spans="1:8" s="36" customFormat="1" ht="12.75" x14ac:dyDescent="0.25">
      <c r="A44" s="55" t="s">
        <v>85</v>
      </c>
      <c r="B44" s="53" t="s">
        <v>181</v>
      </c>
      <c r="C44" s="33"/>
      <c r="D44" s="35" t="str">
        <f>'Unit Testing'!D44</f>
        <v>Tested</v>
      </c>
      <c r="E44" s="35" t="str">
        <f>IE!D44</f>
        <v>Tested</v>
      </c>
      <c r="F44" s="35" t="str">
        <f>Phone!D25</f>
        <v>Tested</v>
      </c>
      <c r="G44" s="35" t="str">
        <f>Tablet!D39</f>
        <v>Tested</v>
      </c>
      <c r="H44" s="68" t="str">
        <f>Plesk!D39</f>
        <v>Tested</v>
      </c>
    </row>
    <row r="46" spans="1:8" s="34" customFormat="1" ht="12.75" x14ac:dyDescent="0.25">
      <c r="A46" s="79" t="s">
        <v>22</v>
      </c>
      <c r="B46" s="79"/>
      <c r="C46" s="79"/>
      <c r="D46" s="37"/>
      <c r="H46" s="37"/>
    </row>
    <row r="47" spans="1:8" ht="25.5" customHeight="1" x14ac:dyDescent="0.25">
      <c r="A47" s="78" t="s">
        <v>213</v>
      </c>
      <c r="B47" s="78"/>
      <c r="C47" s="78"/>
    </row>
    <row r="48" spans="1:8" x14ac:dyDescent="0.25">
      <c r="A48" s="73"/>
      <c r="B48" s="73"/>
      <c r="C48" s="73"/>
    </row>
    <row r="49" spans="1:3" x14ac:dyDescent="0.25">
      <c r="A49" s="73"/>
      <c r="B49" s="73"/>
      <c r="C49" s="73"/>
    </row>
  </sheetData>
  <mergeCells count="6">
    <mergeCell ref="A49:C49"/>
    <mergeCell ref="D6:E6"/>
    <mergeCell ref="F6:G6"/>
    <mergeCell ref="A47:C47"/>
    <mergeCell ref="A46:C46"/>
    <mergeCell ref="A48:C48"/>
  </mergeCells>
  <phoneticPr fontId="8" type="noConversion"/>
  <conditionalFormatting sqref="D8:G44 H9 H11 H13 H15 H17">
    <cfRule type="cellIs" dxfId="730" priority="20" operator="equal">
      <formula>"In Progress"</formula>
    </cfRule>
    <cfRule type="cellIs" dxfId="729" priority="21" operator="equal">
      <formula>"In Progress"</formula>
    </cfRule>
    <cfRule type="cellIs" dxfId="728" priority="22" operator="equal">
      <formula>"Not Tested"</formula>
    </cfRule>
    <cfRule type="cellIs" dxfId="727" priority="23" operator="equal">
      <formula>"Error"</formula>
    </cfRule>
    <cfRule type="cellIs" dxfId="726" priority="24" operator="equal">
      <formula>"Tested"</formula>
    </cfRule>
    <cfRule type="cellIs" dxfId="725" priority="25" operator="equal">
      <formula>"Fail"</formula>
    </cfRule>
    <cfRule type="cellIs" dxfId="724" priority="26" operator="equal">
      <formula>"Issue"</formula>
    </cfRule>
    <cfRule type="cellIs" dxfId="723" priority="27" operator="equal">
      <formula>"Pass"</formula>
    </cfRule>
  </conditionalFormatting>
  <conditionalFormatting sqref="H1:H1048576">
    <cfRule type="cellIs" dxfId="722" priority="1" operator="equal">
      <formula>"Tested"</formula>
    </cfRule>
    <cfRule type="cellIs" dxfId="721" priority="2" operator="equal">
      <formula>"Error"</formula>
    </cfRule>
    <cfRule type="cellIs" dxfId="720" priority="3" operator="equal">
      <formula>"Not Tested"</formula>
    </cfRule>
  </conditionalFormatting>
  <dataValidations count="1">
    <dataValidation type="list" allowBlank="1" showInputMessage="1" showErrorMessage="1" sqref="D8:E44 F27:F44 G10 G8 G12 G14 G16 G18:G44 H8:H44" xr:uid="{226484D8-E38C-47A3-BF9D-358320CFD667}">
      <formula1>$I$2:$I$5</formula1>
    </dataValidation>
  </dataValidations>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6B07-0DFD-4EE0-80FD-427DDA970A6B}">
  <sheetPr>
    <tabColor theme="5" tint="0.39997558519241921"/>
    <pageSetUpPr fitToPage="1"/>
  </sheetPr>
  <dimension ref="A1:J47"/>
  <sheetViews>
    <sheetView zoomScale="90" zoomScaleNormal="90" workbookViewId="0">
      <pane ySplit="7" topLeftCell="A8" activePane="bottomLeft" state="frozen"/>
      <selection pane="bottomLeft" activeCell="G51" sqref="G51"/>
    </sheetView>
  </sheetViews>
  <sheetFormatPr defaultRowHeight="15" x14ac:dyDescent="0.25"/>
  <cols>
    <col min="1" max="1" width="27.5703125" style="1" customWidth="1"/>
    <col min="2" max="2" width="10.5703125" style="1" customWidth="1"/>
    <col min="3" max="3" width="36.5703125" style="3" customWidth="1"/>
    <col min="4" max="4" width="11" style="1" bestFit="1" customWidth="1"/>
    <col min="5" max="5" width="11.85546875" style="1" bestFit="1" customWidth="1"/>
    <col min="6" max="6" width="16.42578125" style="1" bestFit="1" customWidth="1"/>
    <col min="7" max="8" width="27.7109375" style="1" customWidth="1"/>
    <col min="9" max="9" width="29.28515625" style="1" customWidth="1"/>
    <col min="10" max="10" width="36.140625" style="1" customWidth="1"/>
    <col min="11" max="11" width="86.5703125" style="1" customWidth="1"/>
    <col min="12" max="16384" width="9.140625" style="1"/>
  </cols>
  <sheetData>
    <row r="1" spans="1:10" s="9" customFormat="1" ht="18.75" x14ac:dyDescent="0.25">
      <c r="A1" s="5" t="s">
        <v>30</v>
      </c>
      <c r="C1" s="50"/>
    </row>
    <row r="2" spans="1:10" x14ac:dyDescent="0.25">
      <c r="A2" s="10" t="s">
        <v>6</v>
      </c>
      <c r="B2" s="1">
        <f>SUM(E8:E56)</f>
        <v>37</v>
      </c>
      <c r="D2" s="11" t="s">
        <v>4</v>
      </c>
    </row>
    <row r="3" spans="1:10" x14ac:dyDescent="0.25">
      <c r="A3" s="10" t="s">
        <v>7</v>
      </c>
      <c r="B3" s="1">
        <f>SUM(F8:F56)</f>
        <v>37</v>
      </c>
      <c r="D3" s="13" t="s">
        <v>8</v>
      </c>
    </row>
    <row r="4" spans="1:10" x14ac:dyDescent="0.25">
      <c r="A4" s="10" t="s">
        <v>9</v>
      </c>
      <c r="B4" s="14">
        <f>B3/B2</f>
        <v>1</v>
      </c>
      <c r="D4" s="15" t="s">
        <v>10</v>
      </c>
    </row>
    <row r="5" spans="1:10" x14ac:dyDescent="0.25">
      <c r="A5" s="10"/>
      <c r="B5" s="14"/>
      <c r="D5" s="16" t="s">
        <v>11</v>
      </c>
    </row>
    <row r="7" spans="1:10" s="20" customFormat="1" ht="30" x14ac:dyDescent="0.25">
      <c r="A7" s="17" t="s">
        <v>13</v>
      </c>
      <c r="B7" s="17" t="s">
        <v>12</v>
      </c>
      <c r="C7" s="17" t="s">
        <v>58</v>
      </c>
      <c r="D7" s="18" t="s">
        <v>14</v>
      </c>
      <c r="E7" s="19" t="s">
        <v>15</v>
      </c>
      <c r="F7" s="19" t="s">
        <v>16</v>
      </c>
      <c r="G7" s="19" t="s">
        <v>25</v>
      </c>
      <c r="H7" s="19" t="s">
        <v>26</v>
      </c>
      <c r="I7" s="18" t="s">
        <v>27</v>
      </c>
      <c r="J7" s="18" t="s">
        <v>28</v>
      </c>
    </row>
    <row r="8" spans="1:10" s="22" customFormat="1" ht="120" x14ac:dyDescent="0.25">
      <c r="A8" s="42" t="s">
        <v>33</v>
      </c>
      <c r="B8" s="2" t="s">
        <v>145</v>
      </c>
      <c r="C8" s="4" t="s">
        <v>62</v>
      </c>
      <c r="D8" s="28" t="s">
        <v>4</v>
      </c>
      <c r="E8" s="29">
        <v>1</v>
      </c>
      <c r="F8" s="29">
        <v>1</v>
      </c>
      <c r="G8" s="54" t="s">
        <v>48</v>
      </c>
      <c r="H8" s="47" t="s">
        <v>46</v>
      </c>
      <c r="I8" s="4" t="s">
        <v>91</v>
      </c>
      <c r="J8" s="21" t="s">
        <v>31</v>
      </c>
    </row>
    <row r="9" spans="1:10" s="22" customFormat="1" ht="90" x14ac:dyDescent="0.25">
      <c r="A9" s="42" t="s">
        <v>47</v>
      </c>
      <c r="B9" s="2" t="s">
        <v>146</v>
      </c>
      <c r="C9" s="4" t="s">
        <v>63</v>
      </c>
      <c r="D9" s="28" t="s">
        <v>4</v>
      </c>
      <c r="E9" s="29">
        <v>1</v>
      </c>
      <c r="F9" s="29">
        <v>1</v>
      </c>
      <c r="G9" s="48" t="s">
        <v>48</v>
      </c>
      <c r="H9" s="47" t="s">
        <v>51</v>
      </c>
      <c r="I9" s="4" t="s">
        <v>52</v>
      </c>
      <c r="J9" s="21" t="s">
        <v>31</v>
      </c>
    </row>
    <row r="10" spans="1:10" s="22" customFormat="1" ht="180" x14ac:dyDescent="0.25">
      <c r="A10" s="42" t="s">
        <v>36</v>
      </c>
      <c r="B10" s="2" t="s">
        <v>147</v>
      </c>
      <c r="C10" s="4" t="s">
        <v>59</v>
      </c>
      <c r="D10" s="28" t="s">
        <v>4</v>
      </c>
      <c r="E10" s="29">
        <v>1</v>
      </c>
      <c r="F10" s="29">
        <v>1</v>
      </c>
      <c r="G10" s="47" t="s">
        <v>49</v>
      </c>
      <c r="H10" s="47" t="s">
        <v>53</v>
      </c>
      <c r="I10" s="4" t="s">
        <v>54</v>
      </c>
      <c r="J10" s="21" t="s">
        <v>31</v>
      </c>
    </row>
    <row r="11" spans="1:10" s="22" customFormat="1" ht="45" x14ac:dyDescent="0.25">
      <c r="A11" s="48" t="s">
        <v>64</v>
      </c>
      <c r="B11" s="2" t="s">
        <v>148</v>
      </c>
      <c r="C11" s="4" t="s">
        <v>65</v>
      </c>
      <c r="D11" s="28" t="s">
        <v>4</v>
      </c>
      <c r="E11" s="29">
        <v>1</v>
      </c>
      <c r="F11" s="29">
        <v>1</v>
      </c>
      <c r="G11" s="47" t="s">
        <v>50</v>
      </c>
      <c r="H11" s="47" t="s">
        <v>45</v>
      </c>
      <c r="I11" s="4" t="s">
        <v>55</v>
      </c>
      <c r="J11" s="21" t="s">
        <v>31</v>
      </c>
    </row>
    <row r="12" spans="1:10" s="22" customFormat="1" ht="75" x14ac:dyDescent="0.25">
      <c r="A12" s="42" t="s">
        <v>37</v>
      </c>
      <c r="B12" s="2" t="s">
        <v>149</v>
      </c>
      <c r="C12" s="4" t="s">
        <v>59</v>
      </c>
      <c r="D12" s="28" t="s">
        <v>4</v>
      </c>
      <c r="E12" s="29">
        <v>1</v>
      </c>
      <c r="F12" s="29">
        <v>1</v>
      </c>
      <c r="G12" s="47" t="s">
        <v>90</v>
      </c>
      <c r="H12" s="47" t="s">
        <v>86</v>
      </c>
      <c r="I12" s="4" t="s">
        <v>87</v>
      </c>
      <c r="J12" s="21" t="s">
        <v>31</v>
      </c>
    </row>
    <row r="13" spans="1:10" s="22" customFormat="1" ht="75" x14ac:dyDescent="0.25">
      <c r="A13" s="42" t="s">
        <v>88</v>
      </c>
      <c r="B13" s="2" t="s">
        <v>150</v>
      </c>
      <c r="C13" s="4" t="s">
        <v>59</v>
      </c>
      <c r="D13" s="28" t="s">
        <v>4</v>
      </c>
      <c r="E13" s="29">
        <v>1</v>
      </c>
      <c r="F13" s="29">
        <v>1</v>
      </c>
      <c r="G13" s="47" t="s">
        <v>89</v>
      </c>
      <c r="H13" s="47" t="s">
        <v>86</v>
      </c>
      <c r="I13" s="4" t="s">
        <v>92</v>
      </c>
      <c r="J13" s="21" t="s">
        <v>31</v>
      </c>
    </row>
    <row r="14" spans="1:10" s="22" customFormat="1" ht="90" x14ac:dyDescent="0.25">
      <c r="A14" s="42" t="s">
        <v>38</v>
      </c>
      <c r="B14" s="2" t="s">
        <v>151</v>
      </c>
      <c r="C14" s="4" t="s">
        <v>59</v>
      </c>
      <c r="D14" s="28" t="s">
        <v>4</v>
      </c>
      <c r="E14" s="29">
        <v>1</v>
      </c>
      <c r="F14" s="29">
        <v>1</v>
      </c>
      <c r="G14" s="47" t="s">
        <v>93</v>
      </c>
      <c r="H14" s="47" t="s">
        <v>94</v>
      </c>
      <c r="I14" s="4" t="s">
        <v>95</v>
      </c>
      <c r="J14" s="21" t="s">
        <v>31</v>
      </c>
    </row>
    <row r="15" spans="1:10" s="22" customFormat="1" ht="60" x14ac:dyDescent="0.25">
      <c r="A15" s="42" t="s">
        <v>98</v>
      </c>
      <c r="B15" s="2" t="s">
        <v>152</v>
      </c>
      <c r="C15" s="4" t="s">
        <v>59</v>
      </c>
      <c r="D15" s="28" t="s">
        <v>4</v>
      </c>
      <c r="E15" s="29">
        <v>1</v>
      </c>
      <c r="F15" s="29">
        <v>1</v>
      </c>
      <c r="G15" s="47" t="s">
        <v>99</v>
      </c>
      <c r="H15" s="47" t="s">
        <v>86</v>
      </c>
      <c r="I15" s="4" t="s">
        <v>100</v>
      </c>
      <c r="J15" s="21" t="s">
        <v>31</v>
      </c>
    </row>
    <row r="16" spans="1:10" s="22" customFormat="1" ht="60" x14ac:dyDescent="0.25">
      <c r="A16" s="42" t="s">
        <v>40</v>
      </c>
      <c r="B16" s="2" t="s">
        <v>153</v>
      </c>
      <c r="C16" s="4" t="s">
        <v>59</v>
      </c>
      <c r="D16" s="28" t="s">
        <v>4</v>
      </c>
      <c r="E16" s="29">
        <v>1</v>
      </c>
      <c r="F16" s="29">
        <v>1</v>
      </c>
      <c r="G16" s="47" t="s">
        <v>97</v>
      </c>
      <c r="H16" s="47" t="s">
        <v>86</v>
      </c>
      <c r="I16" s="4" t="s">
        <v>96</v>
      </c>
      <c r="J16" s="21" t="s">
        <v>31</v>
      </c>
    </row>
    <row r="17" spans="1:10" s="22" customFormat="1" ht="45" x14ac:dyDescent="0.25">
      <c r="A17" s="42" t="s">
        <v>105</v>
      </c>
      <c r="B17" s="2" t="s">
        <v>154</v>
      </c>
      <c r="C17" s="4" t="s">
        <v>59</v>
      </c>
      <c r="D17" s="28" t="s">
        <v>4</v>
      </c>
      <c r="E17" s="29">
        <v>1</v>
      </c>
      <c r="F17" s="29">
        <v>1</v>
      </c>
      <c r="G17" s="47" t="s">
        <v>104</v>
      </c>
      <c r="H17" s="47" t="s">
        <v>86</v>
      </c>
      <c r="I17" s="4" t="s">
        <v>107</v>
      </c>
      <c r="J17" s="21" t="s">
        <v>31</v>
      </c>
    </row>
    <row r="18" spans="1:10" s="22" customFormat="1" ht="45" x14ac:dyDescent="0.25">
      <c r="A18" s="42" t="s">
        <v>39</v>
      </c>
      <c r="B18" s="2" t="s">
        <v>155</v>
      </c>
      <c r="C18" s="4" t="s">
        <v>59</v>
      </c>
      <c r="D18" s="28" t="s">
        <v>4</v>
      </c>
      <c r="E18" s="29">
        <v>1</v>
      </c>
      <c r="F18" s="29">
        <v>1</v>
      </c>
      <c r="G18" s="47" t="s">
        <v>106</v>
      </c>
      <c r="H18" s="47" t="s">
        <v>86</v>
      </c>
      <c r="I18" s="4" t="s">
        <v>108</v>
      </c>
      <c r="J18" s="21" t="s">
        <v>31</v>
      </c>
    </row>
    <row r="19" spans="1:10" s="22" customFormat="1" ht="75" x14ac:dyDescent="0.25">
      <c r="A19" s="42" t="s">
        <v>61</v>
      </c>
      <c r="B19" s="2" t="s">
        <v>156</v>
      </c>
      <c r="C19" s="4" t="s">
        <v>59</v>
      </c>
      <c r="D19" s="28" t="s">
        <v>4</v>
      </c>
      <c r="E19" s="29">
        <v>1</v>
      </c>
      <c r="F19" s="29">
        <v>1</v>
      </c>
      <c r="G19" s="47" t="s">
        <v>101</v>
      </c>
      <c r="H19" s="47" t="s">
        <v>102</v>
      </c>
      <c r="I19" s="4" t="s">
        <v>103</v>
      </c>
      <c r="J19" s="21" t="s">
        <v>109</v>
      </c>
    </row>
    <row r="20" spans="1:10" s="22" customFormat="1" ht="45" x14ac:dyDescent="0.25">
      <c r="A20" s="42" t="s">
        <v>41</v>
      </c>
      <c r="B20" s="2" t="s">
        <v>157</v>
      </c>
      <c r="C20" s="4" t="s">
        <v>59</v>
      </c>
      <c r="D20" s="28" t="s">
        <v>4</v>
      </c>
      <c r="E20" s="29">
        <v>1</v>
      </c>
      <c r="F20" s="29">
        <v>1</v>
      </c>
      <c r="G20" s="47" t="s">
        <v>110</v>
      </c>
      <c r="H20" s="47" t="s">
        <v>111</v>
      </c>
      <c r="I20" s="4" t="s">
        <v>112</v>
      </c>
      <c r="J20" s="21" t="s">
        <v>31</v>
      </c>
    </row>
    <row r="21" spans="1:10" s="22" customFormat="1" ht="30" x14ac:dyDescent="0.25">
      <c r="A21" s="42" t="s">
        <v>42</v>
      </c>
      <c r="B21" s="2" t="s">
        <v>158</v>
      </c>
      <c r="C21" s="4" t="s">
        <v>59</v>
      </c>
      <c r="D21" s="28" t="s">
        <v>4</v>
      </c>
      <c r="E21" s="29">
        <v>1</v>
      </c>
      <c r="F21" s="29">
        <v>1</v>
      </c>
      <c r="G21" s="47" t="s">
        <v>113</v>
      </c>
      <c r="H21" s="47" t="s">
        <v>86</v>
      </c>
      <c r="I21" s="4" t="s">
        <v>114</v>
      </c>
      <c r="J21" s="21" t="s">
        <v>31</v>
      </c>
    </row>
    <row r="22" spans="1:10" s="22" customFormat="1" ht="60" x14ac:dyDescent="0.25">
      <c r="A22" s="42" t="s">
        <v>44</v>
      </c>
      <c r="B22" s="2" t="s">
        <v>159</v>
      </c>
      <c r="C22" s="4" t="s">
        <v>59</v>
      </c>
      <c r="D22" s="28" t="s">
        <v>4</v>
      </c>
      <c r="E22" s="29">
        <v>1</v>
      </c>
      <c r="F22" s="29">
        <v>1</v>
      </c>
      <c r="G22" s="47" t="s">
        <v>115</v>
      </c>
      <c r="H22" s="47" t="s">
        <v>86</v>
      </c>
      <c r="I22" s="4" t="s">
        <v>116</v>
      </c>
      <c r="J22" s="21" t="s">
        <v>31</v>
      </c>
    </row>
    <row r="23" spans="1:10" s="22" customFormat="1" ht="105" x14ac:dyDescent="0.25">
      <c r="A23" s="42" t="s">
        <v>43</v>
      </c>
      <c r="B23" s="2" t="s">
        <v>160</v>
      </c>
      <c r="C23" s="4" t="s">
        <v>59</v>
      </c>
      <c r="D23" s="28" t="s">
        <v>4</v>
      </c>
      <c r="E23" s="29">
        <v>1</v>
      </c>
      <c r="F23" s="29">
        <v>1</v>
      </c>
      <c r="G23" s="47" t="s">
        <v>106</v>
      </c>
      <c r="H23" s="47" t="s">
        <v>86</v>
      </c>
      <c r="I23" s="4" t="s">
        <v>117</v>
      </c>
      <c r="J23" s="21" t="s">
        <v>118</v>
      </c>
    </row>
    <row r="24" spans="1:10" s="22" customFormat="1" ht="60" x14ac:dyDescent="0.25">
      <c r="A24" s="42" t="s">
        <v>60</v>
      </c>
      <c r="B24" s="2" t="s">
        <v>161</v>
      </c>
      <c r="C24" s="4" t="s">
        <v>59</v>
      </c>
      <c r="D24" s="28" t="s">
        <v>4</v>
      </c>
      <c r="E24" s="29">
        <v>1</v>
      </c>
      <c r="F24" s="29">
        <v>1</v>
      </c>
      <c r="G24" s="47" t="s">
        <v>119</v>
      </c>
      <c r="H24" s="47" t="s">
        <v>120</v>
      </c>
      <c r="I24" s="4" t="s">
        <v>121</v>
      </c>
      <c r="J24" s="21" t="s">
        <v>122</v>
      </c>
    </row>
    <row r="25" spans="1:10" s="22" customFormat="1" ht="75" x14ac:dyDescent="0.25">
      <c r="A25" s="42" t="s">
        <v>57</v>
      </c>
      <c r="B25" s="2" t="s">
        <v>162</v>
      </c>
      <c r="C25" s="4" t="s">
        <v>59</v>
      </c>
      <c r="D25" s="28" t="s">
        <v>4</v>
      </c>
      <c r="E25" s="29">
        <v>1</v>
      </c>
      <c r="F25" s="29">
        <v>1</v>
      </c>
      <c r="G25" s="47" t="s">
        <v>123</v>
      </c>
      <c r="H25" s="47" t="s">
        <v>124</v>
      </c>
      <c r="I25" s="4" t="s">
        <v>125</v>
      </c>
      <c r="J25" s="21" t="s">
        <v>31</v>
      </c>
    </row>
    <row r="26" spans="1:10" s="22" customFormat="1" ht="45" x14ac:dyDescent="0.25">
      <c r="A26" s="42" t="s">
        <v>56</v>
      </c>
      <c r="B26" s="2" t="s">
        <v>163</v>
      </c>
      <c r="C26" s="4" t="s">
        <v>59</v>
      </c>
      <c r="D26" s="28" t="s">
        <v>4</v>
      </c>
      <c r="E26" s="29">
        <v>1</v>
      </c>
      <c r="F26" s="29">
        <v>1</v>
      </c>
      <c r="G26" s="47" t="s">
        <v>106</v>
      </c>
      <c r="H26" s="47" t="s">
        <v>126</v>
      </c>
      <c r="I26" s="4" t="s">
        <v>127</v>
      </c>
      <c r="J26" s="21" t="s">
        <v>31</v>
      </c>
    </row>
    <row r="27" spans="1:10" s="22" customFormat="1" ht="120" x14ac:dyDescent="0.25">
      <c r="A27" s="42" t="s">
        <v>68</v>
      </c>
      <c r="B27" s="2" t="s">
        <v>164</v>
      </c>
      <c r="C27" s="4" t="s">
        <v>66</v>
      </c>
      <c r="D27" s="28" t="s">
        <v>4</v>
      </c>
      <c r="E27" s="49">
        <v>1</v>
      </c>
      <c r="F27" s="29">
        <v>1</v>
      </c>
      <c r="G27" s="47" t="s">
        <v>128</v>
      </c>
      <c r="H27" s="47" t="s">
        <v>129</v>
      </c>
      <c r="I27" s="4" t="s">
        <v>130</v>
      </c>
      <c r="J27" s="21" t="s">
        <v>31</v>
      </c>
    </row>
    <row r="28" spans="1:10" ht="120" x14ac:dyDescent="0.25">
      <c r="A28" s="42" t="s">
        <v>69</v>
      </c>
      <c r="B28" s="2" t="s">
        <v>165</v>
      </c>
      <c r="C28" s="4" t="s">
        <v>67</v>
      </c>
      <c r="D28" s="28" t="s">
        <v>4</v>
      </c>
      <c r="E28" s="49">
        <v>1</v>
      </c>
      <c r="F28" s="29">
        <v>1</v>
      </c>
      <c r="G28" s="47" t="s">
        <v>132</v>
      </c>
      <c r="H28" s="47" t="s">
        <v>129</v>
      </c>
      <c r="I28" s="4" t="s">
        <v>137</v>
      </c>
      <c r="J28" s="21" t="s">
        <v>31</v>
      </c>
    </row>
    <row r="29" spans="1:10" ht="105" x14ac:dyDescent="0.25">
      <c r="A29" s="42" t="s">
        <v>70</v>
      </c>
      <c r="B29" s="2" t="s">
        <v>166</v>
      </c>
      <c r="C29" s="4" t="s">
        <v>32</v>
      </c>
      <c r="D29" s="28" t="s">
        <v>4</v>
      </c>
      <c r="E29" s="49">
        <v>1</v>
      </c>
      <c r="F29" s="29">
        <v>1</v>
      </c>
      <c r="G29" s="47" t="s">
        <v>136</v>
      </c>
      <c r="H29" s="47" t="s">
        <v>129</v>
      </c>
      <c r="I29" s="4" t="s">
        <v>187</v>
      </c>
      <c r="J29" s="21" t="s">
        <v>31</v>
      </c>
    </row>
    <row r="30" spans="1:10" ht="120" x14ac:dyDescent="0.25">
      <c r="A30" s="42" t="s">
        <v>71</v>
      </c>
      <c r="B30" s="2" t="s">
        <v>167</v>
      </c>
      <c r="C30" s="4" t="s">
        <v>66</v>
      </c>
      <c r="D30" s="28" t="s">
        <v>4</v>
      </c>
      <c r="E30" s="49">
        <v>1</v>
      </c>
      <c r="F30" s="29">
        <v>1</v>
      </c>
      <c r="G30" s="47" t="s">
        <v>138</v>
      </c>
      <c r="H30" s="47" t="s">
        <v>129</v>
      </c>
      <c r="I30" s="4" t="s">
        <v>131</v>
      </c>
      <c r="J30" s="21" t="s">
        <v>31</v>
      </c>
    </row>
    <row r="31" spans="1:10" ht="105" x14ac:dyDescent="0.25">
      <c r="A31" s="42" t="s">
        <v>72</v>
      </c>
      <c r="B31" s="2" t="s">
        <v>168</v>
      </c>
      <c r="C31" s="4" t="s">
        <v>67</v>
      </c>
      <c r="D31" s="28" t="s">
        <v>4</v>
      </c>
      <c r="E31" s="49">
        <v>1</v>
      </c>
      <c r="F31" s="29">
        <v>1</v>
      </c>
      <c r="G31" s="47" t="s">
        <v>132</v>
      </c>
      <c r="H31" s="47" t="s">
        <v>129</v>
      </c>
      <c r="I31" s="4" t="s">
        <v>140</v>
      </c>
      <c r="J31" s="21" t="s">
        <v>31</v>
      </c>
    </row>
    <row r="32" spans="1:10" ht="60" x14ac:dyDescent="0.25">
      <c r="A32" s="42" t="s">
        <v>73</v>
      </c>
      <c r="B32" s="2" t="s">
        <v>169</v>
      </c>
      <c r="C32" s="4" t="s">
        <v>32</v>
      </c>
      <c r="D32" s="28" t="s">
        <v>4</v>
      </c>
      <c r="E32" s="49">
        <v>1</v>
      </c>
      <c r="F32" s="29">
        <v>1</v>
      </c>
      <c r="G32" s="47" t="s">
        <v>134</v>
      </c>
      <c r="H32" s="47" t="s">
        <v>35</v>
      </c>
      <c r="I32" s="4" t="s">
        <v>135</v>
      </c>
      <c r="J32" s="21" t="s">
        <v>31</v>
      </c>
    </row>
    <row r="33" spans="1:10" ht="120" x14ac:dyDescent="0.25">
      <c r="A33" s="42" t="s">
        <v>74</v>
      </c>
      <c r="B33" s="2" t="s">
        <v>170</v>
      </c>
      <c r="C33" s="4" t="s">
        <v>66</v>
      </c>
      <c r="D33" s="28" t="s">
        <v>4</v>
      </c>
      <c r="E33" s="49">
        <v>1</v>
      </c>
      <c r="F33" s="29">
        <v>1</v>
      </c>
      <c r="G33" s="47" t="s">
        <v>138</v>
      </c>
      <c r="H33" s="47" t="s">
        <v>129</v>
      </c>
      <c r="I33" s="4" t="s">
        <v>131</v>
      </c>
      <c r="J33" s="21" t="s">
        <v>31</v>
      </c>
    </row>
    <row r="34" spans="1:10" ht="60" x14ac:dyDescent="0.25">
      <c r="A34" s="42" t="s">
        <v>75</v>
      </c>
      <c r="B34" s="2" t="s">
        <v>171</v>
      </c>
      <c r="C34" s="4" t="s">
        <v>67</v>
      </c>
      <c r="D34" s="28" t="s">
        <v>4</v>
      </c>
      <c r="E34" s="49">
        <v>1</v>
      </c>
      <c r="F34" s="29">
        <v>1</v>
      </c>
      <c r="G34" s="47" t="s">
        <v>132</v>
      </c>
      <c r="H34" s="47" t="s">
        <v>129</v>
      </c>
      <c r="I34" s="4" t="s">
        <v>141</v>
      </c>
      <c r="J34" s="21" t="s">
        <v>31</v>
      </c>
    </row>
    <row r="35" spans="1:10" ht="60" x14ac:dyDescent="0.25">
      <c r="A35" s="42" t="s">
        <v>76</v>
      </c>
      <c r="B35" s="2" t="s">
        <v>172</v>
      </c>
      <c r="C35" s="4" t="s">
        <v>32</v>
      </c>
      <c r="D35" s="28" t="s">
        <v>4</v>
      </c>
      <c r="E35" s="49">
        <v>1</v>
      </c>
      <c r="F35" s="29">
        <v>1</v>
      </c>
      <c r="G35" s="47" t="s">
        <v>134</v>
      </c>
      <c r="H35" s="47" t="s">
        <v>35</v>
      </c>
      <c r="I35" s="4" t="s">
        <v>135</v>
      </c>
      <c r="J35" s="21" t="s">
        <v>31</v>
      </c>
    </row>
    <row r="36" spans="1:10" ht="120" x14ac:dyDescent="0.25">
      <c r="A36" s="42" t="s">
        <v>77</v>
      </c>
      <c r="B36" s="2" t="s">
        <v>173</v>
      </c>
      <c r="C36" s="4" t="s">
        <v>66</v>
      </c>
      <c r="D36" s="28" t="s">
        <v>4</v>
      </c>
      <c r="E36" s="49">
        <v>1</v>
      </c>
      <c r="F36" s="29">
        <v>1</v>
      </c>
      <c r="G36" s="47" t="s">
        <v>138</v>
      </c>
      <c r="H36" s="47" t="s">
        <v>129</v>
      </c>
      <c r="I36" s="4" t="s">
        <v>131</v>
      </c>
      <c r="J36" s="21" t="s">
        <v>31</v>
      </c>
    </row>
    <row r="37" spans="1:10" ht="90" x14ac:dyDescent="0.25">
      <c r="A37" s="42" t="s">
        <v>78</v>
      </c>
      <c r="B37" s="2" t="s">
        <v>174</v>
      </c>
      <c r="C37" s="4" t="s">
        <v>67</v>
      </c>
      <c r="D37" s="28" t="s">
        <v>4</v>
      </c>
      <c r="E37" s="49">
        <v>1</v>
      </c>
      <c r="F37" s="29">
        <v>1</v>
      </c>
      <c r="G37" s="47" t="s">
        <v>132</v>
      </c>
      <c r="H37" s="47" t="s">
        <v>129</v>
      </c>
      <c r="I37" s="4" t="s">
        <v>227</v>
      </c>
      <c r="J37" s="47" t="s">
        <v>31</v>
      </c>
    </row>
    <row r="38" spans="1:10" ht="60" x14ac:dyDescent="0.25">
      <c r="A38" s="42" t="s">
        <v>79</v>
      </c>
      <c r="B38" s="2" t="s">
        <v>175</v>
      </c>
      <c r="C38" s="4" t="s">
        <v>32</v>
      </c>
      <c r="D38" s="28" t="s">
        <v>4</v>
      </c>
      <c r="E38" s="49">
        <v>1</v>
      </c>
      <c r="F38" s="29">
        <v>1</v>
      </c>
      <c r="G38" s="47" t="s">
        <v>134</v>
      </c>
      <c r="H38" s="47" t="s">
        <v>35</v>
      </c>
      <c r="I38" s="4" t="s">
        <v>135</v>
      </c>
      <c r="J38" s="21" t="s">
        <v>31</v>
      </c>
    </row>
    <row r="39" spans="1:10" ht="120" x14ac:dyDescent="0.25">
      <c r="A39" s="42" t="s">
        <v>80</v>
      </c>
      <c r="B39" s="2" t="s">
        <v>176</v>
      </c>
      <c r="C39" s="4" t="s">
        <v>66</v>
      </c>
      <c r="D39" s="28" t="s">
        <v>4</v>
      </c>
      <c r="E39" s="49">
        <v>1</v>
      </c>
      <c r="F39" s="29">
        <v>1</v>
      </c>
      <c r="G39" s="47" t="s">
        <v>138</v>
      </c>
      <c r="H39" s="47" t="s">
        <v>129</v>
      </c>
      <c r="I39" s="4" t="s">
        <v>131</v>
      </c>
      <c r="J39" s="21" t="s">
        <v>31</v>
      </c>
    </row>
    <row r="40" spans="1:10" ht="60" x14ac:dyDescent="0.25">
      <c r="A40" s="42" t="s">
        <v>81</v>
      </c>
      <c r="B40" s="2" t="s">
        <v>177</v>
      </c>
      <c r="C40" s="4" t="s">
        <v>67</v>
      </c>
      <c r="D40" s="28" t="s">
        <v>4</v>
      </c>
      <c r="E40" s="49">
        <v>1</v>
      </c>
      <c r="F40" s="29">
        <v>1</v>
      </c>
      <c r="G40" s="47" t="s">
        <v>132</v>
      </c>
      <c r="H40" s="47" t="s">
        <v>129</v>
      </c>
      <c r="I40" s="4" t="s">
        <v>139</v>
      </c>
      <c r="J40" s="21" t="s">
        <v>31</v>
      </c>
    </row>
    <row r="41" spans="1:10" ht="60" x14ac:dyDescent="0.25">
      <c r="A41" s="42" t="s">
        <v>82</v>
      </c>
      <c r="B41" s="2" t="s">
        <v>178</v>
      </c>
      <c r="C41" s="4" t="s">
        <v>32</v>
      </c>
      <c r="D41" s="28" t="s">
        <v>4</v>
      </c>
      <c r="E41" s="49">
        <v>1</v>
      </c>
      <c r="F41" s="29">
        <v>1</v>
      </c>
      <c r="G41" s="47" t="s">
        <v>134</v>
      </c>
      <c r="H41" s="47" t="s">
        <v>35</v>
      </c>
      <c r="I41" s="4" t="s">
        <v>135</v>
      </c>
      <c r="J41" s="21" t="s">
        <v>31</v>
      </c>
    </row>
    <row r="42" spans="1:10" ht="120" x14ac:dyDescent="0.25">
      <c r="A42" s="42" t="s">
        <v>83</v>
      </c>
      <c r="B42" s="2" t="s">
        <v>179</v>
      </c>
      <c r="C42" s="4" t="s">
        <v>66</v>
      </c>
      <c r="D42" s="28" t="s">
        <v>4</v>
      </c>
      <c r="E42" s="49">
        <v>1</v>
      </c>
      <c r="F42" s="29">
        <v>1</v>
      </c>
      <c r="G42" s="47" t="s">
        <v>138</v>
      </c>
      <c r="H42" s="47" t="s">
        <v>129</v>
      </c>
      <c r="I42" s="4" t="s">
        <v>131</v>
      </c>
      <c r="J42" s="21" t="s">
        <v>31</v>
      </c>
    </row>
    <row r="43" spans="1:10" ht="105" x14ac:dyDescent="0.25">
      <c r="A43" s="42" t="s">
        <v>84</v>
      </c>
      <c r="B43" s="2" t="s">
        <v>180</v>
      </c>
      <c r="C43" s="4" t="s">
        <v>67</v>
      </c>
      <c r="D43" s="28" t="s">
        <v>4</v>
      </c>
      <c r="E43" s="49">
        <v>1</v>
      </c>
      <c r="F43" s="29">
        <v>1</v>
      </c>
      <c r="G43" s="47" t="s">
        <v>132</v>
      </c>
      <c r="H43" s="47" t="s">
        <v>129</v>
      </c>
      <c r="I43" s="4" t="s">
        <v>142</v>
      </c>
      <c r="J43" s="21" t="s">
        <v>143</v>
      </c>
    </row>
    <row r="44" spans="1:10" ht="60" x14ac:dyDescent="0.25">
      <c r="A44" s="42" t="s">
        <v>85</v>
      </c>
      <c r="B44" s="2" t="s">
        <v>181</v>
      </c>
      <c r="C44" s="4" t="s">
        <v>32</v>
      </c>
      <c r="D44" s="28" t="s">
        <v>4</v>
      </c>
      <c r="E44" s="49">
        <v>1</v>
      </c>
      <c r="F44" s="29">
        <v>1</v>
      </c>
      <c r="G44" s="47" t="s">
        <v>134</v>
      </c>
      <c r="H44" s="47" t="s">
        <v>35</v>
      </c>
      <c r="I44" s="4" t="s">
        <v>135</v>
      </c>
      <c r="J44" s="21" t="s">
        <v>31</v>
      </c>
    </row>
    <row r="47" spans="1:10" x14ac:dyDescent="0.25">
      <c r="D47" s="1" t="s">
        <v>34</v>
      </c>
    </row>
  </sheetData>
  <autoFilter ref="A7:J44" xr:uid="{25F1E6B0-5103-4376-8B88-5EBBE6B0FE72}"/>
  <phoneticPr fontId="8" type="noConversion"/>
  <conditionalFormatting sqref="D8:D12 D32 D34 D40 D43">
    <cfRule type="cellIs" dxfId="719" priority="586" operator="equal">
      <formula>"In Progress"</formula>
    </cfRule>
    <cfRule type="cellIs" dxfId="718" priority="587" operator="equal">
      <formula>"Not Tested"</formula>
    </cfRule>
    <cfRule type="cellIs" dxfId="717" priority="588" operator="equal">
      <formula>"Tested"</formula>
    </cfRule>
  </conditionalFormatting>
  <conditionalFormatting sqref="D8:D12 D32 D34 D40 D43">
    <cfRule type="cellIs" dxfId="716" priority="583" operator="equal">
      <formula>"Error"</formula>
    </cfRule>
    <cfRule type="cellIs" dxfId="715" priority="584" operator="equal">
      <formula>"Not Tested"</formula>
    </cfRule>
    <cfRule type="cellIs" dxfId="714" priority="585" operator="equal">
      <formula>"In Progress"</formula>
    </cfRule>
  </conditionalFormatting>
  <conditionalFormatting sqref="D13">
    <cfRule type="cellIs" dxfId="713" priority="178" operator="equal">
      <formula>"In Progress"</formula>
    </cfRule>
    <cfRule type="cellIs" dxfId="712" priority="179" operator="equal">
      <formula>"Not Tested"</formula>
    </cfRule>
    <cfRule type="cellIs" dxfId="711" priority="180" operator="equal">
      <formula>"Tested"</formula>
    </cfRule>
  </conditionalFormatting>
  <conditionalFormatting sqref="D13">
    <cfRule type="cellIs" dxfId="710" priority="175" operator="equal">
      <formula>"Error"</formula>
    </cfRule>
    <cfRule type="cellIs" dxfId="709" priority="176" operator="equal">
      <formula>"Not Tested"</formula>
    </cfRule>
    <cfRule type="cellIs" dxfId="708" priority="177" operator="equal">
      <formula>"In Progress"</formula>
    </cfRule>
  </conditionalFormatting>
  <conditionalFormatting sqref="D16">
    <cfRule type="cellIs" dxfId="707" priority="154" operator="equal">
      <formula>"In Progress"</formula>
    </cfRule>
    <cfRule type="cellIs" dxfId="706" priority="155" operator="equal">
      <formula>"Not Tested"</formula>
    </cfRule>
    <cfRule type="cellIs" dxfId="705" priority="156" operator="equal">
      <formula>"Tested"</formula>
    </cfRule>
  </conditionalFormatting>
  <conditionalFormatting sqref="D16">
    <cfRule type="cellIs" dxfId="704" priority="151" operator="equal">
      <formula>"Error"</formula>
    </cfRule>
    <cfRule type="cellIs" dxfId="703" priority="152" operator="equal">
      <formula>"Not Tested"</formula>
    </cfRule>
    <cfRule type="cellIs" dxfId="702" priority="153" operator="equal">
      <formula>"In Progress"</formula>
    </cfRule>
  </conditionalFormatting>
  <conditionalFormatting sqref="D14">
    <cfRule type="cellIs" dxfId="701" priority="172" operator="equal">
      <formula>"In Progress"</formula>
    </cfRule>
    <cfRule type="cellIs" dxfId="700" priority="173" operator="equal">
      <formula>"Not Tested"</formula>
    </cfRule>
    <cfRule type="cellIs" dxfId="699" priority="174" operator="equal">
      <formula>"Tested"</formula>
    </cfRule>
  </conditionalFormatting>
  <conditionalFormatting sqref="D14">
    <cfRule type="cellIs" dxfId="698" priority="169" operator="equal">
      <formula>"Error"</formula>
    </cfRule>
    <cfRule type="cellIs" dxfId="697" priority="170" operator="equal">
      <formula>"Not Tested"</formula>
    </cfRule>
    <cfRule type="cellIs" dxfId="696" priority="171" operator="equal">
      <formula>"In Progress"</formula>
    </cfRule>
  </conditionalFormatting>
  <conditionalFormatting sqref="D19">
    <cfRule type="cellIs" dxfId="695" priority="148" operator="equal">
      <formula>"In Progress"</formula>
    </cfRule>
    <cfRule type="cellIs" dxfId="694" priority="149" operator="equal">
      <formula>"Not Tested"</formula>
    </cfRule>
    <cfRule type="cellIs" dxfId="693" priority="150" operator="equal">
      <formula>"Tested"</formula>
    </cfRule>
  </conditionalFormatting>
  <conditionalFormatting sqref="D19">
    <cfRule type="cellIs" dxfId="692" priority="145" operator="equal">
      <formula>"Error"</formula>
    </cfRule>
    <cfRule type="cellIs" dxfId="691" priority="146" operator="equal">
      <formula>"Not Tested"</formula>
    </cfRule>
    <cfRule type="cellIs" dxfId="690" priority="147" operator="equal">
      <formula>"In Progress"</formula>
    </cfRule>
  </conditionalFormatting>
  <conditionalFormatting sqref="D15">
    <cfRule type="cellIs" dxfId="689" priority="160" operator="equal">
      <formula>"In Progress"</formula>
    </cfRule>
    <cfRule type="cellIs" dxfId="688" priority="161" operator="equal">
      <formula>"Not Tested"</formula>
    </cfRule>
    <cfRule type="cellIs" dxfId="687" priority="162" operator="equal">
      <formula>"Tested"</formula>
    </cfRule>
  </conditionalFormatting>
  <conditionalFormatting sqref="D15">
    <cfRule type="cellIs" dxfId="686" priority="157" operator="equal">
      <formula>"Error"</formula>
    </cfRule>
    <cfRule type="cellIs" dxfId="685" priority="158" operator="equal">
      <formula>"Not Tested"</formula>
    </cfRule>
    <cfRule type="cellIs" dxfId="684" priority="159" operator="equal">
      <formula>"In Progress"</formula>
    </cfRule>
  </conditionalFormatting>
  <conditionalFormatting sqref="D44">
    <cfRule type="cellIs" dxfId="683" priority="64" operator="equal">
      <formula>"In Progress"</formula>
    </cfRule>
    <cfRule type="cellIs" dxfId="682" priority="65" operator="equal">
      <formula>"Not Tested"</formula>
    </cfRule>
    <cfRule type="cellIs" dxfId="681" priority="66" operator="equal">
      <formula>"Tested"</formula>
    </cfRule>
  </conditionalFormatting>
  <conditionalFormatting sqref="D44">
    <cfRule type="cellIs" dxfId="680" priority="61" operator="equal">
      <formula>"Error"</formula>
    </cfRule>
    <cfRule type="cellIs" dxfId="679" priority="62" operator="equal">
      <formula>"Not Tested"</formula>
    </cfRule>
    <cfRule type="cellIs" dxfId="678" priority="63" operator="equal">
      <formula>"In Progress"</formula>
    </cfRule>
  </conditionalFormatting>
  <conditionalFormatting sqref="D29">
    <cfRule type="cellIs" dxfId="677" priority="58" operator="equal">
      <formula>"In Progress"</formula>
    </cfRule>
    <cfRule type="cellIs" dxfId="676" priority="59" operator="equal">
      <formula>"Not Tested"</formula>
    </cfRule>
    <cfRule type="cellIs" dxfId="675" priority="60" operator="equal">
      <formula>"Tested"</formula>
    </cfRule>
  </conditionalFormatting>
  <conditionalFormatting sqref="D29">
    <cfRule type="cellIs" dxfId="674" priority="55" operator="equal">
      <formula>"Error"</formula>
    </cfRule>
    <cfRule type="cellIs" dxfId="673" priority="56" operator="equal">
      <formula>"Not Tested"</formula>
    </cfRule>
    <cfRule type="cellIs" dxfId="672" priority="57" operator="equal">
      <formula>"In Progress"</formula>
    </cfRule>
  </conditionalFormatting>
  <conditionalFormatting sqref="D39">
    <cfRule type="cellIs" dxfId="671" priority="16" operator="equal">
      <formula>"In Progress"</formula>
    </cfRule>
    <cfRule type="cellIs" dxfId="670" priority="17" operator="equal">
      <formula>"Not Tested"</formula>
    </cfRule>
    <cfRule type="cellIs" dxfId="669" priority="18" operator="equal">
      <formula>"Tested"</formula>
    </cfRule>
  </conditionalFormatting>
  <conditionalFormatting sqref="D39">
    <cfRule type="cellIs" dxfId="668" priority="13" operator="equal">
      <formula>"Error"</formula>
    </cfRule>
    <cfRule type="cellIs" dxfId="667" priority="14" operator="equal">
      <formula>"Not Tested"</formula>
    </cfRule>
    <cfRule type="cellIs" dxfId="666" priority="15" operator="equal">
      <formula>"In Progress"</formula>
    </cfRule>
  </conditionalFormatting>
  <conditionalFormatting sqref="D17">
    <cfRule type="cellIs" dxfId="665" priority="136" operator="equal">
      <formula>"In Progress"</formula>
    </cfRule>
    <cfRule type="cellIs" dxfId="664" priority="137" operator="equal">
      <formula>"Not Tested"</formula>
    </cfRule>
    <cfRule type="cellIs" dxfId="663" priority="138" operator="equal">
      <formula>"Tested"</formula>
    </cfRule>
  </conditionalFormatting>
  <conditionalFormatting sqref="D17">
    <cfRule type="cellIs" dxfId="662" priority="133" operator="equal">
      <formula>"Error"</formula>
    </cfRule>
    <cfRule type="cellIs" dxfId="661" priority="134" operator="equal">
      <formula>"Not Tested"</formula>
    </cfRule>
    <cfRule type="cellIs" dxfId="660" priority="135" operator="equal">
      <formula>"In Progress"</formula>
    </cfRule>
  </conditionalFormatting>
  <conditionalFormatting sqref="D18">
    <cfRule type="cellIs" dxfId="659" priority="130" operator="equal">
      <formula>"In Progress"</formula>
    </cfRule>
    <cfRule type="cellIs" dxfId="658" priority="131" operator="equal">
      <formula>"Not Tested"</formula>
    </cfRule>
    <cfRule type="cellIs" dxfId="657" priority="132" operator="equal">
      <formula>"Tested"</formula>
    </cfRule>
  </conditionalFormatting>
  <conditionalFormatting sqref="D18">
    <cfRule type="cellIs" dxfId="656" priority="127" operator="equal">
      <formula>"Error"</formula>
    </cfRule>
    <cfRule type="cellIs" dxfId="655" priority="128" operator="equal">
      <formula>"Not Tested"</formula>
    </cfRule>
    <cfRule type="cellIs" dxfId="654" priority="129" operator="equal">
      <formula>"In Progress"</formula>
    </cfRule>
  </conditionalFormatting>
  <conditionalFormatting sqref="D20">
    <cfRule type="cellIs" dxfId="653" priority="124" operator="equal">
      <formula>"In Progress"</formula>
    </cfRule>
    <cfRule type="cellIs" dxfId="652" priority="125" operator="equal">
      <formula>"Not Tested"</formula>
    </cfRule>
    <cfRule type="cellIs" dxfId="651" priority="126" operator="equal">
      <formula>"Tested"</formula>
    </cfRule>
  </conditionalFormatting>
  <conditionalFormatting sqref="D20">
    <cfRule type="cellIs" dxfId="650" priority="121" operator="equal">
      <formula>"Error"</formula>
    </cfRule>
    <cfRule type="cellIs" dxfId="649" priority="122" operator="equal">
      <formula>"Not Tested"</formula>
    </cfRule>
    <cfRule type="cellIs" dxfId="648" priority="123" operator="equal">
      <formula>"In Progress"</formula>
    </cfRule>
  </conditionalFormatting>
  <conditionalFormatting sqref="D21">
    <cfRule type="cellIs" dxfId="647" priority="118" operator="equal">
      <formula>"In Progress"</formula>
    </cfRule>
    <cfRule type="cellIs" dxfId="646" priority="119" operator="equal">
      <formula>"Not Tested"</formula>
    </cfRule>
    <cfRule type="cellIs" dxfId="645" priority="120" operator="equal">
      <formula>"Tested"</formula>
    </cfRule>
  </conditionalFormatting>
  <conditionalFormatting sqref="D21">
    <cfRule type="cellIs" dxfId="644" priority="115" operator="equal">
      <formula>"Error"</formula>
    </cfRule>
    <cfRule type="cellIs" dxfId="643" priority="116" operator="equal">
      <formula>"Not Tested"</formula>
    </cfRule>
    <cfRule type="cellIs" dxfId="642" priority="117" operator="equal">
      <formula>"In Progress"</formula>
    </cfRule>
  </conditionalFormatting>
  <conditionalFormatting sqref="D22">
    <cfRule type="cellIs" dxfId="641" priority="112" operator="equal">
      <formula>"In Progress"</formula>
    </cfRule>
    <cfRule type="cellIs" dxfId="640" priority="113" operator="equal">
      <formula>"Not Tested"</formula>
    </cfRule>
    <cfRule type="cellIs" dxfId="639" priority="114" operator="equal">
      <formula>"Tested"</formula>
    </cfRule>
  </conditionalFormatting>
  <conditionalFormatting sqref="D22">
    <cfRule type="cellIs" dxfId="638" priority="109" operator="equal">
      <formula>"Error"</formula>
    </cfRule>
    <cfRule type="cellIs" dxfId="637" priority="110" operator="equal">
      <formula>"Not Tested"</formula>
    </cfRule>
    <cfRule type="cellIs" dxfId="636" priority="111" operator="equal">
      <formula>"In Progress"</formula>
    </cfRule>
  </conditionalFormatting>
  <conditionalFormatting sqref="D23">
    <cfRule type="cellIs" dxfId="635" priority="106" operator="equal">
      <formula>"In Progress"</formula>
    </cfRule>
    <cfRule type="cellIs" dxfId="634" priority="107" operator="equal">
      <formula>"Not Tested"</formula>
    </cfRule>
    <cfRule type="cellIs" dxfId="633" priority="108" operator="equal">
      <formula>"Tested"</formula>
    </cfRule>
  </conditionalFormatting>
  <conditionalFormatting sqref="D23">
    <cfRule type="cellIs" dxfId="632" priority="103" operator="equal">
      <formula>"Error"</formula>
    </cfRule>
    <cfRule type="cellIs" dxfId="631" priority="104" operator="equal">
      <formula>"Not Tested"</formula>
    </cfRule>
    <cfRule type="cellIs" dxfId="630" priority="105" operator="equal">
      <formula>"In Progress"</formula>
    </cfRule>
  </conditionalFormatting>
  <conditionalFormatting sqref="D24">
    <cfRule type="cellIs" dxfId="629" priority="100" operator="equal">
      <formula>"In Progress"</formula>
    </cfRule>
    <cfRule type="cellIs" dxfId="628" priority="101" operator="equal">
      <formula>"Not Tested"</formula>
    </cfRule>
    <cfRule type="cellIs" dxfId="627" priority="102" operator="equal">
      <formula>"Tested"</formula>
    </cfRule>
  </conditionalFormatting>
  <conditionalFormatting sqref="D24">
    <cfRule type="cellIs" dxfId="626" priority="97" operator="equal">
      <formula>"Error"</formula>
    </cfRule>
    <cfRule type="cellIs" dxfId="625" priority="98" operator="equal">
      <formula>"Not Tested"</formula>
    </cfRule>
    <cfRule type="cellIs" dxfId="624" priority="99" operator="equal">
      <formula>"In Progress"</formula>
    </cfRule>
  </conditionalFormatting>
  <conditionalFormatting sqref="D25">
    <cfRule type="cellIs" dxfId="623" priority="94" operator="equal">
      <formula>"In Progress"</formula>
    </cfRule>
    <cfRule type="cellIs" dxfId="622" priority="95" operator="equal">
      <formula>"Not Tested"</formula>
    </cfRule>
    <cfRule type="cellIs" dxfId="621" priority="96" operator="equal">
      <formula>"Tested"</formula>
    </cfRule>
  </conditionalFormatting>
  <conditionalFormatting sqref="D25">
    <cfRule type="cellIs" dxfId="620" priority="91" operator="equal">
      <formula>"Error"</formula>
    </cfRule>
    <cfRule type="cellIs" dxfId="619" priority="92" operator="equal">
      <formula>"Not Tested"</formula>
    </cfRule>
    <cfRule type="cellIs" dxfId="618" priority="93" operator="equal">
      <formula>"In Progress"</formula>
    </cfRule>
  </conditionalFormatting>
  <conditionalFormatting sqref="D26">
    <cfRule type="cellIs" dxfId="617" priority="88" operator="equal">
      <formula>"In Progress"</formula>
    </cfRule>
    <cfRule type="cellIs" dxfId="616" priority="89" operator="equal">
      <formula>"Not Tested"</formula>
    </cfRule>
    <cfRule type="cellIs" dxfId="615" priority="90" operator="equal">
      <formula>"Tested"</formula>
    </cfRule>
  </conditionalFormatting>
  <conditionalFormatting sqref="D26">
    <cfRule type="cellIs" dxfId="614" priority="85" operator="equal">
      <formula>"Error"</formula>
    </cfRule>
    <cfRule type="cellIs" dxfId="613" priority="86" operator="equal">
      <formula>"Not Tested"</formula>
    </cfRule>
    <cfRule type="cellIs" dxfId="612" priority="87" operator="equal">
      <formula>"In Progress"</formula>
    </cfRule>
  </conditionalFormatting>
  <conditionalFormatting sqref="D35">
    <cfRule type="cellIs" dxfId="611" priority="82" operator="equal">
      <formula>"In Progress"</formula>
    </cfRule>
    <cfRule type="cellIs" dxfId="610" priority="83" operator="equal">
      <formula>"Not Tested"</formula>
    </cfRule>
    <cfRule type="cellIs" dxfId="609" priority="84" operator="equal">
      <formula>"Tested"</formula>
    </cfRule>
  </conditionalFormatting>
  <conditionalFormatting sqref="D35">
    <cfRule type="cellIs" dxfId="608" priority="79" operator="equal">
      <formula>"Error"</formula>
    </cfRule>
    <cfRule type="cellIs" dxfId="607" priority="80" operator="equal">
      <formula>"Not Tested"</formula>
    </cfRule>
    <cfRule type="cellIs" dxfId="606" priority="81" operator="equal">
      <formula>"In Progress"</formula>
    </cfRule>
  </conditionalFormatting>
  <conditionalFormatting sqref="D38">
    <cfRule type="cellIs" dxfId="605" priority="76" operator="equal">
      <formula>"In Progress"</formula>
    </cfRule>
    <cfRule type="cellIs" dxfId="604" priority="77" operator="equal">
      <formula>"Not Tested"</formula>
    </cfRule>
    <cfRule type="cellIs" dxfId="603" priority="78" operator="equal">
      <formula>"Tested"</formula>
    </cfRule>
  </conditionalFormatting>
  <conditionalFormatting sqref="D38">
    <cfRule type="cellIs" dxfId="602" priority="73" operator="equal">
      <formula>"Error"</formula>
    </cfRule>
    <cfRule type="cellIs" dxfId="601" priority="74" operator="equal">
      <formula>"Not Tested"</formula>
    </cfRule>
    <cfRule type="cellIs" dxfId="600" priority="75" operator="equal">
      <formula>"In Progress"</formula>
    </cfRule>
  </conditionalFormatting>
  <conditionalFormatting sqref="D41">
    <cfRule type="cellIs" dxfId="599" priority="70" operator="equal">
      <formula>"In Progress"</formula>
    </cfRule>
    <cfRule type="cellIs" dxfId="598" priority="71" operator="equal">
      <formula>"Not Tested"</formula>
    </cfRule>
    <cfRule type="cellIs" dxfId="597" priority="72" operator="equal">
      <formula>"Tested"</formula>
    </cfRule>
  </conditionalFormatting>
  <conditionalFormatting sqref="D41">
    <cfRule type="cellIs" dxfId="596" priority="67" operator="equal">
      <formula>"Error"</formula>
    </cfRule>
    <cfRule type="cellIs" dxfId="595" priority="68" operator="equal">
      <formula>"Not Tested"</formula>
    </cfRule>
    <cfRule type="cellIs" dxfId="594" priority="69" operator="equal">
      <formula>"In Progress"</formula>
    </cfRule>
  </conditionalFormatting>
  <conditionalFormatting sqref="D42">
    <cfRule type="cellIs" dxfId="593" priority="10" operator="equal">
      <formula>"In Progress"</formula>
    </cfRule>
    <cfRule type="cellIs" dxfId="592" priority="11" operator="equal">
      <formula>"Not Tested"</formula>
    </cfRule>
    <cfRule type="cellIs" dxfId="591" priority="12" operator="equal">
      <formula>"Tested"</formula>
    </cfRule>
  </conditionalFormatting>
  <conditionalFormatting sqref="D42">
    <cfRule type="cellIs" dxfId="590" priority="7" operator="equal">
      <formula>"Error"</formula>
    </cfRule>
    <cfRule type="cellIs" dxfId="589" priority="8" operator="equal">
      <formula>"Not Tested"</formula>
    </cfRule>
    <cfRule type="cellIs" dxfId="588" priority="9" operator="equal">
      <formula>"In Progress"</formula>
    </cfRule>
  </conditionalFormatting>
  <conditionalFormatting sqref="D27">
    <cfRule type="cellIs" dxfId="587" priority="52" operator="equal">
      <formula>"In Progress"</formula>
    </cfRule>
    <cfRule type="cellIs" dxfId="586" priority="53" operator="equal">
      <formula>"Not Tested"</formula>
    </cfRule>
    <cfRule type="cellIs" dxfId="585" priority="54" operator="equal">
      <formula>"Tested"</formula>
    </cfRule>
  </conditionalFormatting>
  <conditionalFormatting sqref="D27">
    <cfRule type="cellIs" dxfId="584" priority="49" operator="equal">
      <formula>"Error"</formula>
    </cfRule>
    <cfRule type="cellIs" dxfId="583" priority="50" operator="equal">
      <formula>"Not Tested"</formula>
    </cfRule>
    <cfRule type="cellIs" dxfId="582" priority="51" operator="equal">
      <formula>"In Progress"</formula>
    </cfRule>
  </conditionalFormatting>
  <conditionalFormatting sqref="D28">
    <cfRule type="cellIs" dxfId="581" priority="46" operator="equal">
      <formula>"In Progress"</formula>
    </cfRule>
    <cfRule type="cellIs" dxfId="580" priority="47" operator="equal">
      <formula>"Not Tested"</formula>
    </cfRule>
    <cfRule type="cellIs" dxfId="579" priority="48" operator="equal">
      <formula>"Tested"</formula>
    </cfRule>
  </conditionalFormatting>
  <conditionalFormatting sqref="D28">
    <cfRule type="cellIs" dxfId="578" priority="43" operator="equal">
      <formula>"Error"</formula>
    </cfRule>
    <cfRule type="cellIs" dxfId="577" priority="44" operator="equal">
      <formula>"Not Tested"</formula>
    </cfRule>
    <cfRule type="cellIs" dxfId="576" priority="45" operator="equal">
      <formula>"In Progress"</formula>
    </cfRule>
  </conditionalFormatting>
  <conditionalFormatting sqref="D30">
    <cfRule type="cellIs" dxfId="575" priority="40" operator="equal">
      <formula>"In Progress"</formula>
    </cfRule>
    <cfRule type="cellIs" dxfId="574" priority="41" operator="equal">
      <formula>"Not Tested"</formula>
    </cfRule>
    <cfRule type="cellIs" dxfId="573" priority="42" operator="equal">
      <formula>"Tested"</formula>
    </cfRule>
  </conditionalFormatting>
  <conditionalFormatting sqref="D30">
    <cfRule type="cellIs" dxfId="572" priority="37" operator="equal">
      <formula>"Error"</formula>
    </cfRule>
    <cfRule type="cellIs" dxfId="571" priority="38" operator="equal">
      <formula>"Not Tested"</formula>
    </cfRule>
    <cfRule type="cellIs" dxfId="570" priority="39" operator="equal">
      <formula>"In Progress"</formula>
    </cfRule>
  </conditionalFormatting>
  <conditionalFormatting sqref="D31">
    <cfRule type="cellIs" dxfId="569" priority="34" operator="equal">
      <formula>"In Progress"</formula>
    </cfRule>
    <cfRule type="cellIs" dxfId="568" priority="35" operator="equal">
      <formula>"Not Tested"</formula>
    </cfRule>
    <cfRule type="cellIs" dxfId="567" priority="36" operator="equal">
      <formula>"Tested"</formula>
    </cfRule>
  </conditionalFormatting>
  <conditionalFormatting sqref="D31">
    <cfRule type="cellIs" dxfId="566" priority="31" operator="equal">
      <formula>"Error"</formula>
    </cfRule>
    <cfRule type="cellIs" dxfId="565" priority="32" operator="equal">
      <formula>"Not Tested"</formula>
    </cfRule>
    <cfRule type="cellIs" dxfId="564" priority="33" operator="equal">
      <formula>"In Progress"</formula>
    </cfRule>
  </conditionalFormatting>
  <conditionalFormatting sqref="D33">
    <cfRule type="cellIs" dxfId="563" priority="28" operator="equal">
      <formula>"In Progress"</formula>
    </cfRule>
    <cfRule type="cellIs" dxfId="562" priority="29" operator="equal">
      <formula>"Not Tested"</formula>
    </cfRule>
    <cfRule type="cellIs" dxfId="561" priority="30" operator="equal">
      <formula>"Tested"</formula>
    </cfRule>
  </conditionalFormatting>
  <conditionalFormatting sqref="D33">
    <cfRule type="cellIs" dxfId="560" priority="25" operator="equal">
      <formula>"Error"</formula>
    </cfRule>
    <cfRule type="cellIs" dxfId="559" priority="26" operator="equal">
      <formula>"Not Tested"</formula>
    </cfRule>
    <cfRule type="cellIs" dxfId="558" priority="27" operator="equal">
      <formula>"In Progress"</formula>
    </cfRule>
  </conditionalFormatting>
  <conditionalFormatting sqref="D36">
    <cfRule type="cellIs" dxfId="557" priority="22" operator="equal">
      <formula>"In Progress"</formula>
    </cfRule>
    <cfRule type="cellIs" dxfId="556" priority="23" operator="equal">
      <formula>"Not Tested"</formula>
    </cfRule>
    <cfRule type="cellIs" dxfId="555" priority="24" operator="equal">
      <formula>"Tested"</formula>
    </cfRule>
  </conditionalFormatting>
  <conditionalFormatting sqref="D36">
    <cfRule type="cellIs" dxfId="554" priority="19" operator="equal">
      <formula>"Error"</formula>
    </cfRule>
    <cfRule type="cellIs" dxfId="553" priority="20" operator="equal">
      <formula>"Not Tested"</formula>
    </cfRule>
    <cfRule type="cellIs" dxfId="552" priority="21" operator="equal">
      <formula>"In Progress"</formula>
    </cfRule>
  </conditionalFormatting>
  <conditionalFormatting sqref="D37">
    <cfRule type="cellIs" dxfId="5" priority="4" operator="equal">
      <formula>"In Progress"</formula>
    </cfRule>
    <cfRule type="cellIs" dxfId="4" priority="5" operator="equal">
      <formula>"Not Tested"</formula>
    </cfRule>
    <cfRule type="cellIs" dxfId="3" priority="6" operator="equal">
      <formula>"Tested"</formula>
    </cfRule>
  </conditionalFormatting>
  <conditionalFormatting sqref="D37">
    <cfRule type="cellIs" dxfId="2" priority="1" operator="equal">
      <formula>"Error"</formula>
    </cfRule>
    <cfRule type="cellIs" dxfId="1" priority="2" operator="equal">
      <formula>"Not Tested"</formula>
    </cfRule>
    <cfRule type="cellIs" dxfId="0" priority="3" operator="equal">
      <formula>"In Progress"</formula>
    </cfRule>
  </conditionalFormatting>
  <dataValidations count="1">
    <dataValidation type="list" allowBlank="1" showInputMessage="1" showErrorMessage="1" sqref="D8:D44" xr:uid="{FB9DC547-43A8-40C5-AE0D-82B85E57E574}">
      <formula1>$D$2:$D$5</formula1>
    </dataValidation>
  </dataValidations>
  <pageMargins left="0.25" right="0.25" top="0.75" bottom="0.75" header="0.3" footer="0.3"/>
  <pageSetup paperSize="9" scale="54"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21D09-D43A-4509-B77A-58AF8AFD764B}">
  <sheetPr>
    <tabColor theme="9" tint="0.39997558519241921"/>
    <pageSetUpPr fitToPage="1"/>
  </sheetPr>
  <dimension ref="A1:J44"/>
  <sheetViews>
    <sheetView zoomScale="90" zoomScaleNormal="90" workbookViewId="0">
      <pane ySplit="7" topLeftCell="A8" activePane="bottomLeft" state="frozen"/>
      <selection activeCell="I6" sqref="I6"/>
      <selection pane="bottomLeft" activeCell="I37" sqref="I37"/>
    </sheetView>
  </sheetViews>
  <sheetFormatPr defaultRowHeight="15" x14ac:dyDescent="0.25"/>
  <cols>
    <col min="1" max="1" width="29" style="1" customWidth="1"/>
    <col min="2" max="2" width="9" style="1" customWidth="1"/>
    <col min="3" max="3" width="21.140625" style="1" bestFit="1" customWidth="1"/>
    <col min="4" max="4" width="11" style="1" bestFit="1" customWidth="1"/>
    <col min="5" max="5" width="11.85546875" style="1" bestFit="1" customWidth="1"/>
    <col min="6" max="6" width="16.42578125" style="1" bestFit="1" customWidth="1"/>
    <col min="7" max="10" width="27.7109375" style="1" customWidth="1"/>
    <col min="11" max="16384" width="9.140625" style="1"/>
  </cols>
  <sheetData>
    <row r="1" spans="1:10" s="9" customFormat="1" ht="18.75" x14ac:dyDescent="0.25">
      <c r="A1" s="5" t="s">
        <v>29</v>
      </c>
    </row>
    <row r="2" spans="1:10" x14ac:dyDescent="0.25">
      <c r="A2" s="10" t="s">
        <v>6</v>
      </c>
      <c r="B2" s="1">
        <f>SUM(E8:E97)</f>
        <v>37</v>
      </c>
      <c r="D2" s="11" t="s">
        <v>4</v>
      </c>
    </row>
    <row r="3" spans="1:10" x14ac:dyDescent="0.25">
      <c r="A3" s="10" t="s">
        <v>7</v>
      </c>
      <c r="B3" s="1">
        <f>SUM(F8:F97)</f>
        <v>37</v>
      </c>
      <c r="D3" s="13" t="s">
        <v>8</v>
      </c>
    </row>
    <row r="4" spans="1:10" x14ac:dyDescent="0.25">
      <c r="A4" s="10" t="s">
        <v>9</v>
      </c>
      <c r="B4" s="14">
        <f>B3/B2</f>
        <v>1</v>
      </c>
      <c r="D4" s="15" t="s">
        <v>10</v>
      </c>
    </row>
    <row r="5" spans="1:10" x14ac:dyDescent="0.25">
      <c r="A5" s="10"/>
      <c r="B5" s="14"/>
      <c r="D5" s="16" t="s">
        <v>11</v>
      </c>
    </row>
    <row r="7" spans="1:10" s="20" customFormat="1" ht="30" x14ac:dyDescent="0.25">
      <c r="A7" s="27" t="s">
        <v>18</v>
      </c>
      <c r="B7" s="17" t="s">
        <v>12</v>
      </c>
      <c r="C7" s="18" t="s">
        <v>13</v>
      </c>
      <c r="D7" s="18" t="s">
        <v>14</v>
      </c>
      <c r="E7" s="19" t="s">
        <v>15</v>
      </c>
      <c r="F7" s="19" t="s">
        <v>16</v>
      </c>
      <c r="G7" s="19" t="s">
        <v>25</v>
      </c>
      <c r="H7" s="19" t="s">
        <v>26</v>
      </c>
      <c r="I7" s="18" t="s">
        <v>27</v>
      </c>
      <c r="J7" s="18" t="s">
        <v>28</v>
      </c>
    </row>
    <row r="8" spans="1:10" s="22" customFormat="1" ht="135" x14ac:dyDescent="0.25">
      <c r="A8" s="42" t="s">
        <v>33</v>
      </c>
      <c r="B8" s="2" t="s">
        <v>145</v>
      </c>
      <c r="C8" s="4" t="s">
        <v>62</v>
      </c>
      <c r="D8" s="28" t="s">
        <v>4</v>
      </c>
      <c r="E8" s="29">
        <v>1</v>
      </c>
      <c r="F8" s="29">
        <v>1</v>
      </c>
      <c r="G8" s="54" t="s">
        <v>48</v>
      </c>
      <c r="H8" s="47" t="s">
        <v>46</v>
      </c>
      <c r="I8" s="4" t="s">
        <v>91</v>
      </c>
      <c r="J8" s="21" t="s">
        <v>31</v>
      </c>
    </row>
    <row r="9" spans="1:10" s="22" customFormat="1" ht="90" x14ac:dyDescent="0.25">
      <c r="A9" s="42" t="s">
        <v>47</v>
      </c>
      <c r="B9" s="2" t="s">
        <v>146</v>
      </c>
      <c r="C9" s="4" t="s">
        <v>63</v>
      </c>
      <c r="D9" s="28" t="s">
        <v>4</v>
      </c>
      <c r="E9" s="29">
        <v>1</v>
      </c>
      <c r="F9" s="29">
        <v>1</v>
      </c>
      <c r="G9" s="48" t="s">
        <v>48</v>
      </c>
      <c r="H9" s="47" t="s">
        <v>51</v>
      </c>
      <c r="I9" s="4" t="s">
        <v>52</v>
      </c>
      <c r="J9" s="21" t="s">
        <v>31</v>
      </c>
    </row>
    <row r="10" spans="1:10" s="22" customFormat="1" ht="180" x14ac:dyDescent="0.25">
      <c r="A10" s="42" t="s">
        <v>36</v>
      </c>
      <c r="B10" s="2" t="s">
        <v>147</v>
      </c>
      <c r="C10" s="4" t="s">
        <v>59</v>
      </c>
      <c r="D10" s="28" t="s">
        <v>4</v>
      </c>
      <c r="E10" s="29">
        <v>1</v>
      </c>
      <c r="F10" s="29">
        <v>1</v>
      </c>
      <c r="G10" s="47" t="s">
        <v>49</v>
      </c>
      <c r="H10" s="47" t="s">
        <v>53</v>
      </c>
      <c r="I10" s="4" t="s">
        <v>54</v>
      </c>
      <c r="J10" s="21" t="s">
        <v>31</v>
      </c>
    </row>
    <row r="11" spans="1:10" s="22" customFormat="1" ht="45" x14ac:dyDescent="0.25">
      <c r="A11" s="48" t="s">
        <v>64</v>
      </c>
      <c r="B11" s="2" t="s">
        <v>148</v>
      </c>
      <c r="C11" s="4" t="s">
        <v>65</v>
      </c>
      <c r="D11" s="28" t="s">
        <v>4</v>
      </c>
      <c r="E11" s="29">
        <v>1</v>
      </c>
      <c r="F11" s="29">
        <v>1</v>
      </c>
      <c r="G11" s="47" t="s">
        <v>50</v>
      </c>
      <c r="H11" s="47" t="s">
        <v>45</v>
      </c>
      <c r="I11" s="4" t="s">
        <v>55</v>
      </c>
      <c r="J11" s="21" t="s">
        <v>31</v>
      </c>
    </row>
    <row r="12" spans="1:10" s="22" customFormat="1" ht="75" x14ac:dyDescent="0.25">
      <c r="A12" s="42" t="s">
        <v>37</v>
      </c>
      <c r="B12" s="2" t="s">
        <v>149</v>
      </c>
      <c r="C12" s="4" t="s">
        <v>59</v>
      </c>
      <c r="D12" s="28" t="s">
        <v>4</v>
      </c>
      <c r="E12" s="29">
        <v>1</v>
      </c>
      <c r="F12" s="29">
        <v>1</v>
      </c>
      <c r="G12" s="47" t="s">
        <v>90</v>
      </c>
      <c r="H12" s="47"/>
      <c r="I12" s="4" t="s">
        <v>87</v>
      </c>
      <c r="J12" s="21" t="s">
        <v>31</v>
      </c>
    </row>
    <row r="13" spans="1:10" s="22" customFormat="1" ht="75" x14ac:dyDescent="0.25">
      <c r="A13" s="42" t="s">
        <v>88</v>
      </c>
      <c r="B13" s="2" t="s">
        <v>150</v>
      </c>
      <c r="C13" s="4" t="s">
        <v>59</v>
      </c>
      <c r="D13" s="28" t="s">
        <v>4</v>
      </c>
      <c r="E13" s="29">
        <v>1</v>
      </c>
      <c r="F13" s="29">
        <v>1</v>
      </c>
      <c r="G13" s="47" t="s">
        <v>89</v>
      </c>
      <c r="H13" s="47"/>
      <c r="I13" s="4" t="s">
        <v>92</v>
      </c>
      <c r="J13" s="21" t="s">
        <v>31</v>
      </c>
    </row>
    <row r="14" spans="1:10" s="22" customFormat="1" ht="90" x14ac:dyDescent="0.25">
      <c r="A14" s="42" t="s">
        <v>38</v>
      </c>
      <c r="B14" s="2" t="s">
        <v>151</v>
      </c>
      <c r="C14" s="4" t="s">
        <v>59</v>
      </c>
      <c r="D14" s="28" t="s">
        <v>4</v>
      </c>
      <c r="E14" s="29">
        <v>1</v>
      </c>
      <c r="F14" s="29">
        <v>1</v>
      </c>
      <c r="G14" s="47" t="s">
        <v>93</v>
      </c>
      <c r="H14" s="47" t="s">
        <v>94</v>
      </c>
      <c r="I14" s="4" t="s">
        <v>95</v>
      </c>
      <c r="J14" s="21" t="s">
        <v>31</v>
      </c>
    </row>
    <row r="15" spans="1:10" s="22" customFormat="1" ht="60" x14ac:dyDescent="0.25">
      <c r="A15" s="42" t="s">
        <v>98</v>
      </c>
      <c r="B15" s="2" t="s">
        <v>152</v>
      </c>
      <c r="C15" s="4" t="s">
        <v>59</v>
      </c>
      <c r="D15" s="28" t="s">
        <v>4</v>
      </c>
      <c r="E15" s="29">
        <v>1</v>
      </c>
      <c r="F15" s="29">
        <v>1</v>
      </c>
      <c r="G15" s="47" t="s">
        <v>99</v>
      </c>
      <c r="H15" s="47"/>
      <c r="I15" s="4" t="s">
        <v>100</v>
      </c>
      <c r="J15" s="21" t="s">
        <v>31</v>
      </c>
    </row>
    <row r="16" spans="1:10" s="22" customFormat="1" ht="75" x14ac:dyDescent="0.25">
      <c r="A16" s="42" t="s">
        <v>40</v>
      </c>
      <c r="B16" s="2" t="s">
        <v>153</v>
      </c>
      <c r="C16" s="4" t="s">
        <v>59</v>
      </c>
      <c r="D16" s="28" t="s">
        <v>4</v>
      </c>
      <c r="E16" s="29">
        <v>1</v>
      </c>
      <c r="F16" s="29">
        <v>1</v>
      </c>
      <c r="G16" s="47" t="s">
        <v>97</v>
      </c>
      <c r="H16" s="47" t="s">
        <v>182</v>
      </c>
      <c r="I16" s="4" t="s">
        <v>96</v>
      </c>
      <c r="J16" s="21" t="s">
        <v>31</v>
      </c>
    </row>
    <row r="17" spans="1:10" s="22" customFormat="1" ht="45" x14ac:dyDescent="0.25">
      <c r="A17" s="42" t="s">
        <v>105</v>
      </c>
      <c r="B17" s="2" t="s">
        <v>154</v>
      </c>
      <c r="C17" s="4" t="s">
        <v>59</v>
      </c>
      <c r="D17" s="28" t="s">
        <v>4</v>
      </c>
      <c r="E17" s="29">
        <v>1</v>
      </c>
      <c r="F17" s="29">
        <v>1</v>
      </c>
      <c r="G17" s="47" t="s">
        <v>104</v>
      </c>
      <c r="H17" s="47"/>
      <c r="I17" s="4" t="s">
        <v>107</v>
      </c>
      <c r="J17" s="21" t="s">
        <v>31</v>
      </c>
    </row>
    <row r="18" spans="1:10" s="22" customFormat="1" ht="60" x14ac:dyDescent="0.25">
      <c r="A18" s="42" t="s">
        <v>39</v>
      </c>
      <c r="B18" s="2" t="s">
        <v>155</v>
      </c>
      <c r="C18" s="4" t="s">
        <v>59</v>
      </c>
      <c r="D18" s="28" t="s">
        <v>4</v>
      </c>
      <c r="E18" s="29">
        <v>1</v>
      </c>
      <c r="F18" s="29">
        <v>1</v>
      </c>
      <c r="G18" s="47" t="s">
        <v>106</v>
      </c>
      <c r="H18" s="47"/>
      <c r="I18" s="4" t="s">
        <v>108</v>
      </c>
      <c r="J18" s="21" t="s">
        <v>31</v>
      </c>
    </row>
    <row r="19" spans="1:10" s="22" customFormat="1" ht="75" x14ac:dyDescent="0.25">
      <c r="A19" s="42" t="s">
        <v>61</v>
      </c>
      <c r="B19" s="2" t="s">
        <v>156</v>
      </c>
      <c r="C19" s="4" t="s">
        <v>59</v>
      </c>
      <c r="D19" s="28" t="s">
        <v>4</v>
      </c>
      <c r="E19" s="29">
        <v>1</v>
      </c>
      <c r="F19" s="29">
        <v>1</v>
      </c>
      <c r="G19" s="47" t="s">
        <v>101</v>
      </c>
      <c r="H19" s="47" t="s">
        <v>184</v>
      </c>
      <c r="I19" s="4" t="s">
        <v>103</v>
      </c>
      <c r="J19" s="21" t="s">
        <v>183</v>
      </c>
    </row>
    <row r="20" spans="1:10" s="22" customFormat="1" ht="60" x14ac:dyDescent="0.25">
      <c r="A20" s="42" t="s">
        <v>41</v>
      </c>
      <c r="B20" s="2" t="s">
        <v>157</v>
      </c>
      <c r="C20" s="4" t="s">
        <v>59</v>
      </c>
      <c r="D20" s="28" t="s">
        <v>4</v>
      </c>
      <c r="E20" s="29">
        <v>1</v>
      </c>
      <c r="F20" s="29">
        <v>1</v>
      </c>
      <c r="G20" s="47" t="s">
        <v>110</v>
      </c>
      <c r="H20" s="47" t="s">
        <v>185</v>
      </c>
      <c r="I20" s="4" t="s">
        <v>112</v>
      </c>
      <c r="J20" s="21" t="s">
        <v>31</v>
      </c>
    </row>
    <row r="21" spans="1:10" s="22" customFormat="1" ht="30" x14ac:dyDescent="0.25">
      <c r="A21" s="42" t="s">
        <v>42</v>
      </c>
      <c r="B21" s="2" t="s">
        <v>158</v>
      </c>
      <c r="C21" s="4" t="s">
        <v>59</v>
      </c>
      <c r="D21" s="28" t="s">
        <v>4</v>
      </c>
      <c r="E21" s="29">
        <v>1</v>
      </c>
      <c r="F21" s="29">
        <v>1</v>
      </c>
      <c r="G21" s="47" t="s">
        <v>113</v>
      </c>
      <c r="H21" s="47"/>
      <c r="I21" s="4" t="s">
        <v>114</v>
      </c>
      <c r="J21" s="21" t="s">
        <v>31</v>
      </c>
    </row>
    <row r="22" spans="1:10" s="22" customFormat="1" ht="60" x14ac:dyDescent="0.25">
      <c r="A22" s="42" t="s">
        <v>44</v>
      </c>
      <c r="B22" s="2" t="s">
        <v>159</v>
      </c>
      <c r="C22" s="4" t="s">
        <v>59</v>
      </c>
      <c r="D22" s="28" t="s">
        <v>4</v>
      </c>
      <c r="E22" s="29">
        <v>1</v>
      </c>
      <c r="F22" s="29">
        <v>1</v>
      </c>
      <c r="G22" s="47" t="s">
        <v>115</v>
      </c>
      <c r="H22" s="47"/>
      <c r="I22" s="4" t="s">
        <v>116</v>
      </c>
      <c r="J22" s="21" t="s">
        <v>31</v>
      </c>
    </row>
    <row r="23" spans="1:10" s="22" customFormat="1" ht="60" x14ac:dyDescent="0.25">
      <c r="A23" s="42" t="s">
        <v>43</v>
      </c>
      <c r="B23" s="2" t="s">
        <v>160</v>
      </c>
      <c r="C23" s="4" t="s">
        <v>59</v>
      </c>
      <c r="D23" s="28" t="s">
        <v>4</v>
      </c>
      <c r="E23" s="29">
        <v>1</v>
      </c>
      <c r="F23" s="29">
        <v>1</v>
      </c>
      <c r="G23" s="47" t="s">
        <v>106</v>
      </c>
      <c r="H23" s="47"/>
      <c r="I23" s="4" t="s">
        <v>117</v>
      </c>
      <c r="J23" s="21" t="s">
        <v>31</v>
      </c>
    </row>
    <row r="24" spans="1:10" s="22" customFormat="1" ht="60" x14ac:dyDescent="0.25">
      <c r="A24" s="42" t="s">
        <v>60</v>
      </c>
      <c r="B24" s="2" t="s">
        <v>161</v>
      </c>
      <c r="C24" s="4" t="s">
        <v>59</v>
      </c>
      <c r="D24" s="28" t="s">
        <v>4</v>
      </c>
      <c r="E24" s="29">
        <v>1</v>
      </c>
      <c r="F24" s="29">
        <v>1</v>
      </c>
      <c r="G24" s="47" t="s">
        <v>119</v>
      </c>
      <c r="H24" s="47" t="s">
        <v>120</v>
      </c>
      <c r="I24" s="4" t="s">
        <v>121</v>
      </c>
      <c r="J24" s="21" t="s">
        <v>31</v>
      </c>
    </row>
    <row r="25" spans="1:10" s="22" customFormat="1" ht="90" x14ac:dyDescent="0.25">
      <c r="A25" s="42" t="s">
        <v>57</v>
      </c>
      <c r="B25" s="2" t="s">
        <v>162</v>
      </c>
      <c r="C25" s="4" t="s">
        <v>59</v>
      </c>
      <c r="D25" s="28" t="s">
        <v>4</v>
      </c>
      <c r="E25" s="29">
        <v>1</v>
      </c>
      <c r="F25" s="29">
        <v>1</v>
      </c>
      <c r="G25" s="47" t="s">
        <v>123</v>
      </c>
      <c r="H25" s="47"/>
      <c r="I25" s="4" t="s">
        <v>125</v>
      </c>
      <c r="J25" s="21" t="s">
        <v>31</v>
      </c>
    </row>
    <row r="26" spans="1:10" s="22" customFormat="1" ht="45" x14ac:dyDescent="0.25">
      <c r="A26" s="42" t="s">
        <v>56</v>
      </c>
      <c r="B26" s="2" t="s">
        <v>163</v>
      </c>
      <c r="C26" s="4" t="s">
        <v>59</v>
      </c>
      <c r="D26" s="28" t="s">
        <v>4</v>
      </c>
      <c r="E26" s="29">
        <v>1</v>
      </c>
      <c r="F26" s="29">
        <v>1</v>
      </c>
      <c r="G26" s="47" t="s">
        <v>106</v>
      </c>
      <c r="H26" s="47" t="s">
        <v>126</v>
      </c>
      <c r="I26" s="4" t="s">
        <v>127</v>
      </c>
      <c r="J26" s="21" t="s">
        <v>31</v>
      </c>
    </row>
    <row r="27" spans="1:10" s="22" customFormat="1" ht="135" x14ac:dyDescent="0.25">
      <c r="A27" s="42" t="s">
        <v>68</v>
      </c>
      <c r="B27" s="2" t="s">
        <v>164</v>
      </c>
      <c r="C27" s="4" t="s">
        <v>66</v>
      </c>
      <c r="D27" s="28" t="s">
        <v>4</v>
      </c>
      <c r="E27" s="29">
        <v>1</v>
      </c>
      <c r="F27" s="29">
        <v>1</v>
      </c>
      <c r="G27" s="47" t="s">
        <v>128</v>
      </c>
      <c r="H27" s="47"/>
      <c r="I27" s="4" t="s">
        <v>130</v>
      </c>
      <c r="J27" s="21" t="s">
        <v>31</v>
      </c>
    </row>
    <row r="28" spans="1:10" ht="120" x14ac:dyDescent="0.25">
      <c r="A28" s="42" t="s">
        <v>69</v>
      </c>
      <c r="B28" s="2" t="s">
        <v>165</v>
      </c>
      <c r="C28" s="4" t="s">
        <v>67</v>
      </c>
      <c r="D28" s="28" t="s">
        <v>4</v>
      </c>
      <c r="E28" s="29">
        <v>1</v>
      </c>
      <c r="F28" s="29">
        <v>1</v>
      </c>
      <c r="G28" s="47" t="s">
        <v>132</v>
      </c>
      <c r="H28" s="47"/>
      <c r="I28" s="4" t="s">
        <v>137</v>
      </c>
      <c r="J28" s="21" t="s">
        <v>31</v>
      </c>
    </row>
    <row r="29" spans="1:10" ht="105" x14ac:dyDescent="0.25">
      <c r="A29" s="42" t="s">
        <v>70</v>
      </c>
      <c r="B29" s="2" t="s">
        <v>166</v>
      </c>
      <c r="C29" s="4" t="s">
        <v>32</v>
      </c>
      <c r="D29" s="28" t="s">
        <v>4</v>
      </c>
      <c r="E29" s="29">
        <v>1</v>
      </c>
      <c r="F29" s="29">
        <v>1</v>
      </c>
      <c r="G29" s="47" t="s">
        <v>136</v>
      </c>
      <c r="H29" s="47"/>
      <c r="I29" s="4" t="s">
        <v>187</v>
      </c>
      <c r="J29" s="21" t="s">
        <v>31</v>
      </c>
    </row>
    <row r="30" spans="1:10" ht="135" x14ac:dyDescent="0.25">
      <c r="A30" s="42" t="s">
        <v>71</v>
      </c>
      <c r="B30" s="2" t="s">
        <v>167</v>
      </c>
      <c r="C30" s="4" t="s">
        <v>66</v>
      </c>
      <c r="D30" s="28" t="s">
        <v>4</v>
      </c>
      <c r="E30" s="29">
        <v>1</v>
      </c>
      <c r="F30" s="29">
        <v>1</v>
      </c>
      <c r="G30" s="47" t="s">
        <v>138</v>
      </c>
      <c r="H30" s="47"/>
      <c r="I30" s="4" t="s">
        <v>131</v>
      </c>
      <c r="J30" s="21" t="s">
        <v>31</v>
      </c>
    </row>
    <row r="31" spans="1:10" ht="120" x14ac:dyDescent="0.25">
      <c r="A31" s="42" t="s">
        <v>72</v>
      </c>
      <c r="B31" s="2" t="s">
        <v>168</v>
      </c>
      <c r="C31" s="4" t="s">
        <v>67</v>
      </c>
      <c r="D31" s="28" t="s">
        <v>4</v>
      </c>
      <c r="E31" s="29">
        <v>1</v>
      </c>
      <c r="F31" s="29">
        <v>1</v>
      </c>
      <c r="G31" s="47" t="s">
        <v>132</v>
      </c>
      <c r="H31" s="47"/>
      <c r="I31" s="4" t="s">
        <v>140</v>
      </c>
      <c r="J31" s="21" t="s">
        <v>31</v>
      </c>
    </row>
    <row r="32" spans="1:10" ht="60" x14ac:dyDescent="0.25">
      <c r="A32" s="42" t="s">
        <v>73</v>
      </c>
      <c r="B32" s="2" t="s">
        <v>169</v>
      </c>
      <c r="C32" s="4" t="s">
        <v>32</v>
      </c>
      <c r="D32" s="28" t="s">
        <v>4</v>
      </c>
      <c r="E32" s="29">
        <v>1</v>
      </c>
      <c r="F32" s="29">
        <v>1</v>
      </c>
      <c r="G32" s="47" t="s">
        <v>134</v>
      </c>
      <c r="H32" s="47" t="s">
        <v>35</v>
      </c>
      <c r="I32" s="4" t="s">
        <v>135</v>
      </c>
      <c r="J32" s="21" t="s">
        <v>31</v>
      </c>
    </row>
    <row r="33" spans="1:10" ht="135" x14ac:dyDescent="0.25">
      <c r="A33" s="42" t="s">
        <v>74</v>
      </c>
      <c r="B33" s="2" t="s">
        <v>170</v>
      </c>
      <c r="C33" s="4" t="s">
        <v>66</v>
      </c>
      <c r="D33" s="28" t="s">
        <v>4</v>
      </c>
      <c r="E33" s="29">
        <v>1</v>
      </c>
      <c r="F33" s="29">
        <v>1</v>
      </c>
      <c r="G33" s="47" t="s">
        <v>138</v>
      </c>
      <c r="H33" s="47"/>
      <c r="I33" s="4" t="s">
        <v>131</v>
      </c>
      <c r="J33" s="21" t="s">
        <v>31</v>
      </c>
    </row>
    <row r="34" spans="1:10" ht="75" x14ac:dyDescent="0.25">
      <c r="A34" s="42" t="s">
        <v>75</v>
      </c>
      <c r="B34" s="2" t="s">
        <v>171</v>
      </c>
      <c r="C34" s="4" t="s">
        <v>67</v>
      </c>
      <c r="D34" s="28" t="s">
        <v>4</v>
      </c>
      <c r="E34" s="29">
        <v>1</v>
      </c>
      <c r="F34" s="29">
        <v>1</v>
      </c>
      <c r="G34" s="47" t="s">
        <v>132</v>
      </c>
      <c r="H34" s="47"/>
      <c r="I34" s="4" t="s">
        <v>141</v>
      </c>
      <c r="J34" s="21" t="s">
        <v>31</v>
      </c>
    </row>
    <row r="35" spans="1:10" ht="60" x14ac:dyDescent="0.25">
      <c r="A35" s="42" t="s">
        <v>76</v>
      </c>
      <c r="B35" s="2" t="s">
        <v>172</v>
      </c>
      <c r="C35" s="4" t="s">
        <v>32</v>
      </c>
      <c r="D35" s="28" t="s">
        <v>4</v>
      </c>
      <c r="E35" s="29">
        <v>1</v>
      </c>
      <c r="F35" s="29">
        <v>1</v>
      </c>
      <c r="G35" s="47" t="s">
        <v>134</v>
      </c>
      <c r="H35" s="47" t="s">
        <v>35</v>
      </c>
      <c r="I35" s="4" t="s">
        <v>135</v>
      </c>
      <c r="J35" s="21" t="s">
        <v>31</v>
      </c>
    </row>
    <row r="36" spans="1:10" ht="135" x14ac:dyDescent="0.25">
      <c r="A36" s="42" t="s">
        <v>77</v>
      </c>
      <c r="B36" s="2" t="s">
        <v>173</v>
      </c>
      <c r="C36" s="4" t="s">
        <v>66</v>
      </c>
      <c r="D36" s="28" t="s">
        <v>4</v>
      </c>
      <c r="E36" s="29">
        <v>1</v>
      </c>
      <c r="F36" s="29">
        <v>1</v>
      </c>
      <c r="G36" s="47" t="s">
        <v>138</v>
      </c>
      <c r="H36" s="47"/>
      <c r="I36" s="4" t="s">
        <v>131</v>
      </c>
      <c r="J36" s="21" t="s">
        <v>31</v>
      </c>
    </row>
    <row r="37" spans="1:10" ht="90" x14ac:dyDescent="0.25">
      <c r="A37" s="42" t="s">
        <v>78</v>
      </c>
      <c r="B37" s="2" t="s">
        <v>174</v>
      </c>
      <c r="C37" s="4" t="s">
        <v>67</v>
      </c>
      <c r="D37" s="28" t="s">
        <v>4</v>
      </c>
      <c r="E37" s="29">
        <v>1</v>
      </c>
      <c r="F37" s="29">
        <v>1</v>
      </c>
      <c r="G37" s="47" t="s">
        <v>132</v>
      </c>
      <c r="H37" s="47"/>
      <c r="I37" s="4" t="s">
        <v>227</v>
      </c>
      <c r="J37" s="21"/>
    </row>
    <row r="38" spans="1:10" ht="60" x14ac:dyDescent="0.25">
      <c r="A38" s="42" t="s">
        <v>79</v>
      </c>
      <c r="B38" s="2" t="s">
        <v>175</v>
      </c>
      <c r="C38" s="4" t="s">
        <v>32</v>
      </c>
      <c r="D38" s="28" t="s">
        <v>4</v>
      </c>
      <c r="E38" s="29">
        <v>1</v>
      </c>
      <c r="F38" s="29">
        <v>1</v>
      </c>
      <c r="G38" s="47" t="s">
        <v>134</v>
      </c>
      <c r="H38" s="47" t="s">
        <v>35</v>
      </c>
      <c r="I38" s="4" t="s">
        <v>135</v>
      </c>
      <c r="J38" s="21" t="s">
        <v>31</v>
      </c>
    </row>
    <row r="39" spans="1:10" ht="135" x14ac:dyDescent="0.25">
      <c r="A39" s="42" t="s">
        <v>80</v>
      </c>
      <c r="B39" s="2" t="s">
        <v>176</v>
      </c>
      <c r="C39" s="4" t="s">
        <v>66</v>
      </c>
      <c r="D39" s="28" t="s">
        <v>4</v>
      </c>
      <c r="E39" s="29">
        <v>1</v>
      </c>
      <c r="F39" s="29">
        <v>1</v>
      </c>
      <c r="G39" s="47" t="s">
        <v>138</v>
      </c>
      <c r="H39" s="47"/>
      <c r="I39" s="4" t="s">
        <v>131</v>
      </c>
      <c r="J39" s="21" t="s">
        <v>31</v>
      </c>
    </row>
    <row r="40" spans="1:10" ht="75" x14ac:dyDescent="0.25">
      <c r="A40" s="42" t="s">
        <v>81</v>
      </c>
      <c r="B40" s="2" t="s">
        <v>177</v>
      </c>
      <c r="C40" s="4" t="s">
        <v>67</v>
      </c>
      <c r="D40" s="28" t="s">
        <v>4</v>
      </c>
      <c r="E40" s="29">
        <v>1</v>
      </c>
      <c r="F40" s="29">
        <v>1</v>
      </c>
      <c r="G40" s="47" t="s">
        <v>132</v>
      </c>
      <c r="H40" s="47"/>
      <c r="I40" s="4" t="s">
        <v>139</v>
      </c>
      <c r="J40" s="21" t="s">
        <v>186</v>
      </c>
    </row>
    <row r="41" spans="1:10" ht="60" x14ac:dyDescent="0.25">
      <c r="A41" s="42" t="s">
        <v>82</v>
      </c>
      <c r="B41" s="2" t="s">
        <v>178</v>
      </c>
      <c r="C41" s="4" t="s">
        <v>32</v>
      </c>
      <c r="D41" s="28" t="s">
        <v>4</v>
      </c>
      <c r="E41" s="29">
        <v>1</v>
      </c>
      <c r="F41" s="29">
        <v>1</v>
      </c>
      <c r="G41" s="47" t="s">
        <v>134</v>
      </c>
      <c r="H41" s="47" t="s">
        <v>35</v>
      </c>
      <c r="I41" s="4" t="s">
        <v>135</v>
      </c>
      <c r="J41" s="21" t="s">
        <v>31</v>
      </c>
    </row>
    <row r="42" spans="1:10" ht="135" x14ac:dyDescent="0.25">
      <c r="A42" s="42" t="s">
        <v>83</v>
      </c>
      <c r="B42" s="2" t="s">
        <v>179</v>
      </c>
      <c r="C42" s="4" t="s">
        <v>66</v>
      </c>
      <c r="D42" s="28" t="s">
        <v>4</v>
      </c>
      <c r="E42" s="29">
        <v>1</v>
      </c>
      <c r="F42" s="29">
        <v>1</v>
      </c>
      <c r="G42" s="47" t="s">
        <v>138</v>
      </c>
      <c r="H42" s="47"/>
      <c r="I42" s="4" t="s">
        <v>131</v>
      </c>
      <c r="J42" s="21" t="s">
        <v>31</v>
      </c>
    </row>
    <row r="43" spans="1:10" ht="120" x14ac:dyDescent="0.25">
      <c r="A43" s="42" t="s">
        <v>84</v>
      </c>
      <c r="B43" s="2" t="s">
        <v>180</v>
      </c>
      <c r="C43" s="4" t="s">
        <v>67</v>
      </c>
      <c r="D43" s="28" t="s">
        <v>4</v>
      </c>
      <c r="E43" s="29">
        <v>1</v>
      </c>
      <c r="F43" s="29">
        <v>1</v>
      </c>
      <c r="G43" s="47" t="s">
        <v>132</v>
      </c>
      <c r="H43" s="47"/>
      <c r="I43" s="4" t="s">
        <v>142</v>
      </c>
      <c r="J43" s="21" t="s">
        <v>222</v>
      </c>
    </row>
    <row r="44" spans="1:10" ht="60" x14ac:dyDescent="0.25">
      <c r="A44" s="42" t="s">
        <v>85</v>
      </c>
      <c r="B44" s="2" t="s">
        <v>181</v>
      </c>
      <c r="C44" s="4" t="s">
        <v>32</v>
      </c>
      <c r="D44" s="28" t="s">
        <v>4</v>
      </c>
      <c r="E44" s="29">
        <v>1</v>
      </c>
      <c r="F44" s="29">
        <v>1</v>
      </c>
      <c r="G44" s="47" t="s">
        <v>134</v>
      </c>
      <c r="H44" s="47" t="s">
        <v>35</v>
      </c>
      <c r="I44" s="4" t="s">
        <v>135</v>
      </c>
      <c r="J44" s="21" t="s">
        <v>31</v>
      </c>
    </row>
  </sheetData>
  <autoFilter ref="A7:H44" xr:uid="{25F1E6B0-5103-4376-8B88-5EBBE6B0FE72}"/>
  <conditionalFormatting sqref="D11 D15 D27 D33 D39">
    <cfRule type="cellIs" dxfId="551" priority="175" operator="equal">
      <formula>"Error"</formula>
    </cfRule>
    <cfRule type="cellIs" dxfId="550" priority="176" operator="equal">
      <formula>"Not Tested"</formula>
    </cfRule>
    <cfRule type="cellIs" dxfId="549" priority="177" operator="equal">
      <formula>"In Progress"</formula>
    </cfRule>
  </conditionalFormatting>
  <conditionalFormatting sqref="D8 D30 D36 D42">
    <cfRule type="cellIs" dxfId="548" priority="346" operator="equal">
      <formula>"In Progress"</formula>
    </cfRule>
    <cfRule type="cellIs" dxfId="547" priority="347" operator="equal">
      <formula>"Not Tested"</formula>
    </cfRule>
    <cfRule type="cellIs" dxfId="546" priority="348" operator="equal">
      <formula>"Tested"</formula>
    </cfRule>
  </conditionalFormatting>
  <conditionalFormatting sqref="D8 D30 D36 D42">
    <cfRule type="cellIs" dxfId="545" priority="343" operator="equal">
      <formula>"Error"</formula>
    </cfRule>
    <cfRule type="cellIs" dxfId="544" priority="344" operator="equal">
      <formula>"Not Tested"</formula>
    </cfRule>
    <cfRule type="cellIs" dxfId="543" priority="345" operator="equal">
      <formula>"In Progress"</formula>
    </cfRule>
  </conditionalFormatting>
  <conditionalFormatting sqref="D11 D15 D27 D33 D39">
    <cfRule type="cellIs" dxfId="542" priority="178" operator="equal">
      <formula>"In Progress"</formula>
    </cfRule>
    <cfRule type="cellIs" dxfId="541" priority="179" operator="equal">
      <formula>"Not Tested"</formula>
    </cfRule>
    <cfRule type="cellIs" dxfId="540" priority="180" operator="equal">
      <formula>"Tested"</formula>
    </cfRule>
  </conditionalFormatting>
  <conditionalFormatting sqref="D28">
    <cfRule type="cellIs" dxfId="539" priority="169" operator="equal">
      <formula>"Error"</formula>
    </cfRule>
    <cfRule type="cellIs" dxfId="538" priority="170" operator="equal">
      <formula>"Not Tested"</formula>
    </cfRule>
    <cfRule type="cellIs" dxfId="537" priority="171" operator="equal">
      <formula>"In Progress"</formula>
    </cfRule>
  </conditionalFormatting>
  <conditionalFormatting sqref="D28">
    <cfRule type="cellIs" dxfId="536" priority="172" operator="equal">
      <formula>"In Progress"</formula>
    </cfRule>
    <cfRule type="cellIs" dxfId="535" priority="173" operator="equal">
      <formula>"Not Tested"</formula>
    </cfRule>
    <cfRule type="cellIs" dxfId="534" priority="174" operator="equal">
      <formula>"Tested"</formula>
    </cfRule>
  </conditionalFormatting>
  <conditionalFormatting sqref="D29">
    <cfRule type="cellIs" dxfId="533" priority="163" operator="equal">
      <formula>"Error"</formula>
    </cfRule>
    <cfRule type="cellIs" dxfId="532" priority="164" operator="equal">
      <formula>"Not Tested"</formula>
    </cfRule>
    <cfRule type="cellIs" dxfId="531" priority="165" operator="equal">
      <formula>"In Progress"</formula>
    </cfRule>
  </conditionalFormatting>
  <conditionalFormatting sqref="D29">
    <cfRule type="cellIs" dxfId="530" priority="166" operator="equal">
      <formula>"In Progress"</formula>
    </cfRule>
    <cfRule type="cellIs" dxfId="529" priority="167" operator="equal">
      <formula>"Not Tested"</formula>
    </cfRule>
    <cfRule type="cellIs" dxfId="528" priority="168" operator="equal">
      <formula>"Tested"</formula>
    </cfRule>
  </conditionalFormatting>
  <conditionalFormatting sqref="D9">
    <cfRule type="cellIs" dxfId="527" priority="160" operator="equal">
      <formula>"In Progress"</formula>
    </cfRule>
    <cfRule type="cellIs" dxfId="526" priority="161" operator="equal">
      <formula>"Not Tested"</formula>
    </cfRule>
    <cfRule type="cellIs" dxfId="525" priority="162" operator="equal">
      <formula>"Tested"</formula>
    </cfRule>
  </conditionalFormatting>
  <conditionalFormatting sqref="D9">
    <cfRule type="cellIs" dxfId="524" priority="157" operator="equal">
      <formula>"Error"</formula>
    </cfRule>
    <cfRule type="cellIs" dxfId="523" priority="158" operator="equal">
      <formula>"Not Tested"</formula>
    </cfRule>
    <cfRule type="cellIs" dxfId="522" priority="159" operator="equal">
      <formula>"In Progress"</formula>
    </cfRule>
  </conditionalFormatting>
  <conditionalFormatting sqref="D10">
    <cfRule type="cellIs" dxfId="521" priority="154" operator="equal">
      <formula>"In Progress"</formula>
    </cfRule>
    <cfRule type="cellIs" dxfId="520" priority="155" operator="equal">
      <formula>"Not Tested"</formula>
    </cfRule>
    <cfRule type="cellIs" dxfId="519" priority="156" operator="equal">
      <formula>"Tested"</formula>
    </cfRule>
  </conditionalFormatting>
  <conditionalFormatting sqref="D10">
    <cfRule type="cellIs" dxfId="518" priority="151" operator="equal">
      <formula>"Error"</formula>
    </cfRule>
    <cfRule type="cellIs" dxfId="517" priority="152" operator="equal">
      <formula>"Not Tested"</formula>
    </cfRule>
    <cfRule type="cellIs" dxfId="516" priority="153" operator="equal">
      <formula>"In Progress"</formula>
    </cfRule>
  </conditionalFormatting>
  <conditionalFormatting sqref="D12">
    <cfRule type="cellIs" dxfId="515" priority="145" operator="equal">
      <formula>"Error"</formula>
    </cfRule>
    <cfRule type="cellIs" dxfId="514" priority="146" operator="equal">
      <formula>"Not Tested"</formula>
    </cfRule>
    <cfRule type="cellIs" dxfId="513" priority="147" operator="equal">
      <formula>"In Progress"</formula>
    </cfRule>
  </conditionalFormatting>
  <conditionalFormatting sqref="D12">
    <cfRule type="cellIs" dxfId="512" priority="148" operator="equal">
      <formula>"In Progress"</formula>
    </cfRule>
    <cfRule type="cellIs" dxfId="511" priority="149" operator="equal">
      <formula>"Not Tested"</formula>
    </cfRule>
    <cfRule type="cellIs" dxfId="510" priority="150" operator="equal">
      <formula>"Tested"</formula>
    </cfRule>
  </conditionalFormatting>
  <conditionalFormatting sqref="D13">
    <cfRule type="cellIs" dxfId="509" priority="139" operator="equal">
      <formula>"Error"</formula>
    </cfRule>
    <cfRule type="cellIs" dxfId="508" priority="140" operator="equal">
      <formula>"Not Tested"</formula>
    </cfRule>
    <cfRule type="cellIs" dxfId="507" priority="141" operator="equal">
      <formula>"In Progress"</formula>
    </cfRule>
  </conditionalFormatting>
  <conditionalFormatting sqref="D13">
    <cfRule type="cellIs" dxfId="506" priority="142" operator="equal">
      <formula>"In Progress"</formula>
    </cfRule>
    <cfRule type="cellIs" dxfId="505" priority="143" operator="equal">
      <formula>"Not Tested"</formula>
    </cfRule>
    <cfRule type="cellIs" dxfId="504" priority="144" operator="equal">
      <formula>"Tested"</formula>
    </cfRule>
  </conditionalFormatting>
  <conditionalFormatting sqref="D14">
    <cfRule type="cellIs" dxfId="503" priority="133" operator="equal">
      <formula>"Error"</formula>
    </cfRule>
    <cfRule type="cellIs" dxfId="502" priority="134" operator="equal">
      <formula>"Not Tested"</formula>
    </cfRule>
    <cfRule type="cellIs" dxfId="501" priority="135" operator="equal">
      <formula>"In Progress"</formula>
    </cfRule>
  </conditionalFormatting>
  <conditionalFormatting sqref="D14">
    <cfRule type="cellIs" dxfId="500" priority="136" operator="equal">
      <formula>"In Progress"</formula>
    </cfRule>
    <cfRule type="cellIs" dxfId="499" priority="137" operator="equal">
      <formula>"Not Tested"</formula>
    </cfRule>
    <cfRule type="cellIs" dxfId="498" priority="138" operator="equal">
      <formula>"Tested"</formula>
    </cfRule>
  </conditionalFormatting>
  <conditionalFormatting sqref="D16">
    <cfRule type="cellIs" dxfId="497" priority="127" operator="equal">
      <formula>"Error"</formula>
    </cfRule>
    <cfRule type="cellIs" dxfId="496" priority="128" operator="equal">
      <formula>"Not Tested"</formula>
    </cfRule>
    <cfRule type="cellIs" dxfId="495" priority="129" operator="equal">
      <formula>"In Progress"</formula>
    </cfRule>
  </conditionalFormatting>
  <conditionalFormatting sqref="D16">
    <cfRule type="cellIs" dxfId="494" priority="130" operator="equal">
      <formula>"In Progress"</formula>
    </cfRule>
    <cfRule type="cellIs" dxfId="493" priority="131" operator="equal">
      <formula>"Not Tested"</formula>
    </cfRule>
    <cfRule type="cellIs" dxfId="492" priority="132" operator="equal">
      <formula>"Tested"</formula>
    </cfRule>
  </conditionalFormatting>
  <conditionalFormatting sqref="D17">
    <cfRule type="cellIs" dxfId="491" priority="121" operator="equal">
      <formula>"Error"</formula>
    </cfRule>
    <cfRule type="cellIs" dxfId="490" priority="122" operator="equal">
      <formula>"Not Tested"</formula>
    </cfRule>
    <cfRule type="cellIs" dxfId="489" priority="123" operator="equal">
      <formula>"In Progress"</formula>
    </cfRule>
  </conditionalFormatting>
  <conditionalFormatting sqref="D17">
    <cfRule type="cellIs" dxfId="488" priority="124" operator="equal">
      <formula>"In Progress"</formula>
    </cfRule>
    <cfRule type="cellIs" dxfId="487" priority="125" operator="equal">
      <formula>"Not Tested"</formula>
    </cfRule>
    <cfRule type="cellIs" dxfId="486" priority="126" operator="equal">
      <formula>"Tested"</formula>
    </cfRule>
  </conditionalFormatting>
  <conditionalFormatting sqref="D18">
    <cfRule type="cellIs" dxfId="485" priority="115" operator="equal">
      <formula>"Error"</formula>
    </cfRule>
    <cfRule type="cellIs" dxfId="484" priority="116" operator="equal">
      <formula>"Not Tested"</formula>
    </cfRule>
    <cfRule type="cellIs" dxfId="483" priority="117" operator="equal">
      <formula>"In Progress"</formula>
    </cfRule>
  </conditionalFormatting>
  <conditionalFormatting sqref="D18">
    <cfRule type="cellIs" dxfId="482" priority="118" operator="equal">
      <formula>"In Progress"</formula>
    </cfRule>
    <cfRule type="cellIs" dxfId="481" priority="119" operator="equal">
      <formula>"Not Tested"</formula>
    </cfRule>
    <cfRule type="cellIs" dxfId="480" priority="120" operator="equal">
      <formula>"Tested"</formula>
    </cfRule>
  </conditionalFormatting>
  <conditionalFormatting sqref="D19">
    <cfRule type="cellIs" dxfId="479" priority="109" operator="equal">
      <formula>"Error"</formula>
    </cfRule>
    <cfRule type="cellIs" dxfId="478" priority="110" operator="equal">
      <formula>"Not Tested"</formula>
    </cfRule>
    <cfRule type="cellIs" dxfId="477" priority="111" operator="equal">
      <formula>"In Progress"</formula>
    </cfRule>
  </conditionalFormatting>
  <conditionalFormatting sqref="D19">
    <cfRule type="cellIs" dxfId="476" priority="112" operator="equal">
      <formula>"In Progress"</formula>
    </cfRule>
    <cfRule type="cellIs" dxfId="475" priority="113" operator="equal">
      <formula>"Not Tested"</formula>
    </cfRule>
    <cfRule type="cellIs" dxfId="474" priority="114" operator="equal">
      <formula>"Tested"</formula>
    </cfRule>
  </conditionalFormatting>
  <conditionalFormatting sqref="D20">
    <cfRule type="cellIs" dxfId="473" priority="103" operator="equal">
      <formula>"Error"</formula>
    </cfRule>
    <cfRule type="cellIs" dxfId="472" priority="104" operator="equal">
      <formula>"Not Tested"</formula>
    </cfRule>
    <cfRule type="cellIs" dxfId="471" priority="105" operator="equal">
      <formula>"In Progress"</formula>
    </cfRule>
  </conditionalFormatting>
  <conditionalFormatting sqref="D20">
    <cfRule type="cellIs" dxfId="470" priority="106" operator="equal">
      <formula>"In Progress"</formula>
    </cfRule>
    <cfRule type="cellIs" dxfId="469" priority="107" operator="equal">
      <formula>"Not Tested"</formula>
    </cfRule>
    <cfRule type="cellIs" dxfId="468" priority="108" operator="equal">
      <formula>"Tested"</formula>
    </cfRule>
  </conditionalFormatting>
  <conditionalFormatting sqref="D21">
    <cfRule type="cellIs" dxfId="467" priority="97" operator="equal">
      <formula>"Error"</formula>
    </cfRule>
    <cfRule type="cellIs" dxfId="466" priority="98" operator="equal">
      <formula>"Not Tested"</formula>
    </cfRule>
    <cfRule type="cellIs" dxfId="465" priority="99" operator="equal">
      <formula>"In Progress"</formula>
    </cfRule>
  </conditionalFormatting>
  <conditionalFormatting sqref="D21">
    <cfRule type="cellIs" dxfId="464" priority="100" operator="equal">
      <formula>"In Progress"</formula>
    </cfRule>
    <cfRule type="cellIs" dxfId="463" priority="101" operator="equal">
      <formula>"Not Tested"</formula>
    </cfRule>
    <cfRule type="cellIs" dxfId="462" priority="102" operator="equal">
      <formula>"Tested"</formula>
    </cfRule>
  </conditionalFormatting>
  <conditionalFormatting sqref="D22">
    <cfRule type="cellIs" dxfId="461" priority="91" operator="equal">
      <formula>"Error"</formula>
    </cfRule>
    <cfRule type="cellIs" dxfId="460" priority="92" operator="equal">
      <formula>"Not Tested"</formula>
    </cfRule>
    <cfRule type="cellIs" dxfId="459" priority="93" operator="equal">
      <formula>"In Progress"</formula>
    </cfRule>
  </conditionalFormatting>
  <conditionalFormatting sqref="D22">
    <cfRule type="cellIs" dxfId="458" priority="94" operator="equal">
      <formula>"In Progress"</formula>
    </cfRule>
    <cfRule type="cellIs" dxfId="457" priority="95" operator="equal">
      <formula>"Not Tested"</formula>
    </cfRule>
    <cfRule type="cellIs" dxfId="456" priority="96" operator="equal">
      <formula>"Tested"</formula>
    </cfRule>
  </conditionalFormatting>
  <conditionalFormatting sqref="D23">
    <cfRule type="cellIs" dxfId="455" priority="85" operator="equal">
      <formula>"Error"</formula>
    </cfRule>
    <cfRule type="cellIs" dxfId="454" priority="86" operator="equal">
      <formula>"Not Tested"</formula>
    </cfRule>
    <cfRule type="cellIs" dxfId="453" priority="87" operator="equal">
      <formula>"In Progress"</formula>
    </cfRule>
  </conditionalFormatting>
  <conditionalFormatting sqref="D23">
    <cfRule type="cellIs" dxfId="452" priority="88" operator="equal">
      <formula>"In Progress"</formula>
    </cfRule>
    <cfRule type="cellIs" dxfId="451" priority="89" operator="equal">
      <formula>"Not Tested"</formula>
    </cfRule>
    <cfRule type="cellIs" dxfId="450" priority="90" operator="equal">
      <formula>"Tested"</formula>
    </cfRule>
  </conditionalFormatting>
  <conditionalFormatting sqref="D24">
    <cfRule type="cellIs" dxfId="449" priority="79" operator="equal">
      <formula>"Error"</formula>
    </cfRule>
    <cfRule type="cellIs" dxfId="448" priority="80" operator="equal">
      <formula>"Not Tested"</formula>
    </cfRule>
    <cfRule type="cellIs" dxfId="447" priority="81" operator="equal">
      <formula>"In Progress"</formula>
    </cfRule>
  </conditionalFormatting>
  <conditionalFormatting sqref="D24">
    <cfRule type="cellIs" dxfId="446" priority="82" operator="equal">
      <formula>"In Progress"</formula>
    </cfRule>
    <cfRule type="cellIs" dxfId="445" priority="83" operator="equal">
      <formula>"Not Tested"</formula>
    </cfRule>
    <cfRule type="cellIs" dxfId="444" priority="84" operator="equal">
      <formula>"Tested"</formula>
    </cfRule>
  </conditionalFormatting>
  <conditionalFormatting sqref="D26">
    <cfRule type="cellIs" dxfId="443" priority="73" operator="equal">
      <formula>"Error"</formula>
    </cfRule>
    <cfRule type="cellIs" dxfId="442" priority="74" operator="equal">
      <formula>"Not Tested"</formula>
    </cfRule>
    <cfRule type="cellIs" dxfId="441" priority="75" operator="equal">
      <formula>"In Progress"</formula>
    </cfRule>
  </conditionalFormatting>
  <conditionalFormatting sqref="D26">
    <cfRule type="cellIs" dxfId="440" priority="76" operator="equal">
      <formula>"In Progress"</formula>
    </cfRule>
    <cfRule type="cellIs" dxfId="439" priority="77" operator="equal">
      <formula>"Not Tested"</formula>
    </cfRule>
    <cfRule type="cellIs" dxfId="438" priority="78" operator="equal">
      <formula>"Tested"</formula>
    </cfRule>
  </conditionalFormatting>
  <conditionalFormatting sqref="D25">
    <cfRule type="cellIs" dxfId="437" priority="67" operator="equal">
      <formula>"Error"</formula>
    </cfRule>
    <cfRule type="cellIs" dxfId="436" priority="68" operator="equal">
      <formula>"Not Tested"</formula>
    </cfRule>
    <cfRule type="cellIs" dxfId="435" priority="69" operator="equal">
      <formula>"In Progress"</formula>
    </cfRule>
  </conditionalFormatting>
  <conditionalFormatting sqref="D25">
    <cfRule type="cellIs" dxfId="434" priority="70" operator="equal">
      <formula>"In Progress"</formula>
    </cfRule>
    <cfRule type="cellIs" dxfId="433" priority="71" operator="equal">
      <formula>"Not Tested"</formula>
    </cfRule>
    <cfRule type="cellIs" dxfId="432" priority="72" operator="equal">
      <formula>"Tested"</formula>
    </cfRule>
  </conditionalFormatting>
  <conditionalFormatting sqref="D31">
    <cfRule type="cellIs" dxfId="431" priority="64" operator="equal">
      <formula>"In Progress"</formula>
    </cfRule>
    <cfRule type="cellIs" dxfId="430" priority="65" operator="equal">
      <formula>"Not Tested"</formula>
    </cfRule>
    <cfRule type="cellIs" dxfId="429" priority="66" operator="equal">
      <formula>"Tested"</formula>
    </cfRule>
  </conditionalFormatting>
  <conditionalFormatting sqref="D31">
    <cfRule type="cellIs" dxfId="428" priority="61" operator="equal">
      <formula>"Error"</formula>
    </cfRule>
    <cfRule type="cellIs" dxfId="427" priority="62" operator="equal">
      <formula>"Not Tested"</formula>
    </cfRule>
    <cfRule type="cellIs" dxfId="426" priority="63" operator="equal">
      <formula>"In Progress"</formula>
    </cfRule>
  </conditionalFormatting>
  <conditionalFormatting sqref="D32">
    <cfRule type="cellIs" dxfId="425" priority="58" operator="equal">
      <formula>"In Progress"</formula>
    </cfRule>
    <cfRule type="cellIs" dxfId="424" priority="59" operator="equal">
      <formula>"Not Tested"</formula>
    </cfRule>
    <cfRule type="cellIs" dxfId="423" priority="60" operator="equal">
      <formula>"Tested"</formula>
    </cfRule>
  </conditionalFormatting>
  <conditionalFormatting sqref="D32">
    <cfRule type="cellIs" dxfId="422" priority="55" operator="equal">
      <formula>"Error"</formula>
    </cfRule>
    <cfRule type="cellIs" dxfId="421" priority="56" operator="equal">
      <formula>"Not Tested"</formula>
    </cfRule>
    <cfRule type="cellIs" dxfId="420" priority="57" operator="equal">
      <formula>"In Progress"</formula>
    </cfRule>
  </conditionalFormatting>
  <conditionalFormatting sqref="D34">
    <cfRule type="cellIs" dxfId="419" priority="49" operator="equal">
      <formula>"Error"</formula>
    </cfRule>
    <cfRule type="cellIs" dxfId="418" priority="50" operator="equal">
      <formula>"Not Tested"</formula>
    </cfRule>
    <cfRule type="cellIs" dxfId="417" priority="51" operator="equal">
      <formula>"In Progress"</formula>
    </cfRule>
  </conditionalFormatting>
  <conditionalFormatting sqref="D34">
    <cfRule type="cellIs" dxfId="416" priority="52" operator="equal">
      <formula>"In Progress"</formula>
    </cfRule>
    <cfRule type="cellIs" dxfId="415" priority="53" operator="equal">
      <formula>"Not Tested"</formula>
    </cfRule>
    <cfRule type="cellIs" dxfId="414" priority="54" operator="equal">
      <formula>"Tested"</formula>
    </cfRule>
  </conditionalFormatting>
  <conditionalFormatting sqref="D35">
    <cfRule type="cellIs" dxfId="413" priority="43" operator="equal">
      <formula>"Error"</formula>
    </cfRule>
    <cfRule type="cellIs" dxfId="412" priority="44" operator="equal">
      <formula>"Not Tested"</formula>
    </cfRule>
    <cfRule type="cellIs" dxfId="411" priority="45" operator="equal">
      <formula>"In Progress"</formula>
    </cfRule>
  </conditionalFormatting>
  <conditionalFormatting sqref="D35">
    <cfRule type="cellIs" dxfId="410" priority="46" operator="equal">
      <formula>"In Progress"</formula>
    </cfRule>
    <cfRule type="cellIs" dxfId="409" priority="47" operator="equal">
      <formula>"Not Tested"</formula>
    </cfRule>
    <cfRule type="cellIs" dxfId="408" priority="48" operator="equal">
      <formula>"Tested"</formula>
    </cfRule>
  </conditionalFormatting>
  <conditionalFormatting sqref="D38">
    <cfRule type="cellIs" dxfId="401" priority="34" operator="equal">
      <formula>"In Progress"</formula>
    </cfRule>
    <cfRule type="cellIs" dxfId="400" priority="35" operator="equal">
      <formula>"Not Tested"</formula>
    </cfRule>
    <cfRule type="cellIs" dxfId="399" priority="36" operator="equal">
      <formula>"Tested"</formula>
    </cfRule>
  </conditionalFormatting>
  <conditionalFormatting sqref="D38">
    <cfRule type="cellIs" dxfId="398" priority="31" operator="equal">
      <formula>"Error"</formula>
    </cfRule>
    <cfRule type="cellIs" dxfId="397" priority="32" operator="equal">
      <formula>"Not Tested"</formula>
    </cfRule>
    <cfRule type="cellIs" dxfId="396" priority="33" operator="equal">
      <formula>"In Progress"</formula>
    </cfRule>
  </conditionalFormatting>
  <conditionalFormatting sqref="D41">
    <cfRule type="cellIs" dxfId="395" priority="25" operator="equal">
      <formula>"Error"</formula>
    </cfRule>
    <cfRule type="cellIs" dxfId="394" priority="26" operator="equal">
      <formula>"Not Tested"</formula>
    </cfRule>
    <cfRule type="cellIs" dxfId="393" priority="27" operator="equal">
      <formula>"In Progress"</formula>
    </cfRule>
  </conditionalFormatting>
  <conditionalFormatting sqref="D41">
    <cfRule type="cellIs" dxfId="392" priority="28" operator="equal">
      <formula>"In Progress"</formula>
    </cfRule>
    <cfRule type="cellIs" dxfId="391" priority="29" operator="equal">
      <formula>"Not Tested"</formula>
    </cfRule>
    <cfRule type="cellIs" dxfId="390" priority="30" operator="equal">
      <formula>"Tested"</formula>
    </cfRule>
  </conditionalFormatting>
  <conditionalFormatting sqref="D40">
    <cfRule type="cellIs" dxfId="389" priority="19" operator="equal">
      <formula>"Error"</formula>
    </cfRule>
    <cfRule type="cellIs" dxfId="388" priority="20" operator="equal">
      <formula>"Not Tested"</formula>
    </cfRule>
    <cfRule type="cellIs" dxfId="387" priority="21" operator="equal">
      <formula>"In Progress"</formula>
    </cfRule>
  </conditionalFormatting>
  <conditionalFormatting sqref="D40">
    <cfRule type="cellIs" dxfId="386" priority="22" operator="equal">
      <formula>"In Progress"</formula>
    </cfRule>
    <cfRule type="cellIs" dxfId="385" priority="23" operator="equal">
      <formula>"Not Tested"</formula>
    </cfRule>
    <cfRule type="cellIs" dxfId="384" priority="24" operator="equal">
      <formula>"Tested"</formula>
    </cfRule>
  </conditionalFormatting>
  <conditionalFormatting sqref="D43">
    <cfRule type="cellIs" dxfId="383" priority="16" operator="equal">
      <formula>"In Progress"</formula>
    </cfRule>
    <cfRule type="cellIs" dxfId="382" priority="17" operator="equal">
      <formula>"Not Tested"</formula>
    </cfRule>
    <cfRule type="cellIs" dxfId="381" priority="18" operator="equal">
      <formula>"Tested"</formula>
    </cfRule>
  </conditionalFormatting>
  <conditionalFormatting sqref="D43">
    <cfRule type="cellIs" dxfId="380" priority="13" operator="equal">
      <formula>"Error"</formula>
    </cfRule>
    <cfRule type="cellIs" dxfId="379" priority="14" operator="equal">
      <formula>"Not Tested"</formula>
    </cfRule>
    <cfRule type="cellIs" dxfId="378" priority="15" operator="equal">
      <formula>"In Progress"</formula>
    </cfRule>
  </conditionalFormatting>
  <conditionalFormatting sqref="D44">
    <cfRule type="cellIs" dxfId="377" priority="10" operator="equal">
      <formula>"In Progress"</formula>
    </cfRule>
    <cfRule type="cellIs" dxfId="376" priority="11" operator="equal">
      <formula>"Not Tested"</formula>
    </cfRule>
    <cfRule type="cellIs" dxfId="375" priority="12" operator="equal">
      <formula>"Tested"</formula>
    </cfRule>
  </conditionalFormatting>
  <conditionalFormatting sqref="D44">
    <cfRule type="cellIs" dxfId="374" priority="7" operator="equal">
      <formula>"Error"</formula>
    </cfRule>
    <cfRule type="cellIs" dxfId="373" priority="8" operator="equal">
      <formula>"Not Tested"</formula>
    </cfRule>
    <cfRule type="cellIs" dxfId="372" priority="9" operator="equal">
      <formula>"In Progress"</formula>
    </cfRule>
  </conditionalFormatting>
  <conditionalFormatting sqref="D37">
    <cfRule type="cellIs" dxfId="11" priority="4" operator="equal">
      <formula>"In Progress"</formula>
    </cfRule>
    <cfRule type="cellIs" dxfId="10" priority="5" operator="equal">
      <formula>"Not Tested"</formula>
    </cfRule>
    <cfRule type="cellIs" dxfId="9" priority="6" operator="equal">
      <formula>"Tested"</formula>
    </cfRule>
  </conditionalFormatting>
  <conditionalFormatting sqref="D37">
    <cfRule type="cellIs" dxfId="8" priority="1" operator="equal">
      <formula>"Error"</formula>
    </cfRule>
    <cfRule type="cellIs" dxfId="7" priority="2" operator="equal">
      <formula>"Not Tested"</formula>
    </cfRule>
    <cfRule type="cellIs" dxfId="6" priority="3" operator="equal">
      <formula>"In Progress"</formula>
    </cfRule>
  </conditionalFormatting>
  <dataValidations count="1">
    <dataValidation type="list" allowBlank="1" showInputMessage="1" showErrorMessage="1" sqref="D8:D44" xr:uid="{F595B254-AB0A-42FF-B539-7011F1F87994}">
      <formula1>$D$2:$D$5</formula1>
    </dataValidation>
  </dataValidations>
  <pageMargins left="0.25" right="0.25" top="0.75" bottom="0.75" header="0.3" footer="0.3"/>
  <pageSetup paperSize="9" scale="5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037C8-B34A-48D4-9B44-61AA8B8AB709}">
  <sheetPr>
    <tabColor theme="8" tint="0.39997558519241921"/>
    <pageSetUpPr fitToPage="1"/>
  </sheetPr>
  <dimension ref="A1:K25"/>
  <sheetViews>
    <sheetView zoomScale="90" zoomScaleNormal="90" workbookViewId="0">
      <pane ySplit="7" topLeftCell="A8" activePane="bottomLeft" state="frozen"/>
      <selection activeCell="I6" sqref="I6"/>
      <selection pane="bottomLeft" activeCell="K24" sqref="K24"/>
    </sheetView>
  </sheetViews>
  <sheetFormatPr defaultRowHeight="15" x14ac:dyDescent="0.25"/>
  <cols>
    <col min="1" max="1" width="28" style="1" customWidth="1"/>
    <col min="2" max="2" width="9" style="51" customWidth="1"/>
    <col min="3" max="3" width="13.5703125" style="1" customWidth="1"/>
    <col min="4" max="4" width="11" style="1" bestFit="1" customWidth="1"/>
    <col min="5" max="5" width="10.140625" style="1" customWidth="1"/>
    <col min="6" max="6" width="13.85546875" style="1" customWidth="1"/>
    <col min="7" max="7" width="44.42578125" style="1" bestFit="1" customWidth="1"/>
    <col min="8" max="8" width="14" style="1" customWidth="1"/>
    <col min="9" max="11" width="27.7109375" style="1" customWidth="1"/>
    <col min="12" max="16384" width="9.140625" style="1"/>
  </cols>
  <sheetData>
    <row r="1" spans="1:11" s="9" customFormat="1" ht="18.75" x14ac:dyDescent="0.25">
      <c r="A1" s="5" t="s">
        <v>199</v>
      </c>
      <c r="B1" s="40"/>
    </row>
    <row r="2" spans="1:11" x14ac:dyDescent="0.25">
      <c r="A2" s="10" t="s">
        <v>6</v>
      </c>
      <c r="B2" s="51">
        <f>SUM(E8:E42)</f>
        <v>18</v>
      </c>
      <c r="D2" s="11" t="s">
        <v>4</v>
      </c>
    </row>
    <row r="3" spans="1:11" x14ac:dyDescent="0.25">
      <c r="A3" s="10" t="s">
        <v>7</v>
      </c>
      <c r="B3" s="51">
        <f>SUM(F8:F42)</f>
        <v>18</v>
      </c>
      <c r="D3" s="13" t="s">
        <v>8</v>
      </c>
    </row>
    <row r="4" spans="1:11" x14ac:dyDescent="0.25">
      <c r="A4" s="10" t="s">
        <v>9</v>
      </c>
      <c r="B4" s="52">
        <f>B3/B2</f>
        <v>1</v>
      </c>
      <c r="D4" s="15" t="s">
        <v>10</v>
      </c>
    </row>
    <row r="5" spans="1:11" x14ac:dyDescent="0.25">
      <c r="A5" s="10"/>
      <c r="B5" s="52"/>
      <c r="D5" s="16" t="s">
        <v>11</v>
      </c>
    </row>
    <row r="7" spans="1:11" s="20" customFormat="1" ht="45" x14ac:dyDescent="0.25">
      <c r="A7" s="17" t="s">
        <v>18</v>
      </c>
      <c r="B7" s="17" t="s">
        <v>12</v>
      </c>
      <c r="C7" s="18" t="s">
        <v>13</v>
      </c>
      <c r="D7" s="18" t="s">
        <v>14</v>
      </c>
      <c r="E7" s="19" t="s">
        <v>15</v>
      </c>
      <c r="F7" s="19" t="s">
        <v>16</v>
      </c>
      <c r="G7" s="19" t="s">
        <v>25</v>
      </c>
      <c r="H7" s="19" t="s">
        <v>26</v>
      </c>
      <c r="I7" s="18" t="s">
        <v>27</v>
      </c>
      <c r="J7" s="41" t="s">
        <v>23</v>
      </c>
      <c r="K7" s="41" t="s">
        <v>24</v>
      </c>
    </row>
    <row r="8" spans="1:11" ht="135" x14ac:dyDescent="0.25">
      <c r="A8" s="42" t="s">
        <v>68</v>
      </c>
      <c r="B8" s="2" t="s">
        <v>164</v>
      </c>
      <c r="C8" s="4" t="s">
        <v>66</v>
      </c>
      <c r="D8" s="28" t="s">
        <v>4</v>
      </c>
      <c r="E8" s="29">
        <v>1</v>
      </c>
      <c r="F8" s="29">
        <v>1</v>
      </c>
      <c r="G8" s="47" t="s">
        <v>128</v>
      </c>
      <c r="H8" s="47" t="s">
        <v>129</v>
      </c>
      <c r="I8" s="4" t="s">
        <v>189</v>
      </c>
      <c r="J8" s="21" t="s">
        <v>209</v>
      </c>
      <c r="K8" s="21" t="s">
        <v>208</v>
      </c>
    </row>
    <row r="9" spans="1:11" ht="120" x14ac:dyDescent="0.25">
      <c r="A9" s="42" t="s">
        <v>69</v>
      </c>
      <c r="B9" s="2" t="s">
        <v>165</v>
      </c>
      <c r="C9" s="4" t="s">
        <v>67</v>
      </c>
      <c r="D9" s="28" t="s">
        <v>4</v>
      </c>
      <c r="E9" s="29">
        <v>1</v>
      </c>
      <c r="F9" s="29">
        <v>1</v>
      </c>
      <c r="G9" s="47" t="s">
        <v>132</v>
      </c>
      <c r="H9" s="47" t="s">
        <v>129</v>
      </c>
      <c r="I9" s="4" t="s">
        <v>137</v>
      </c>
      <c r="J9" s="21" t="s">
        <v>31</v>
      </c>
      <c r="K9" s="21" t="s">
        <v>31</v>
      </c>
    </row>
    <row r="10" spans="1:11" ht="60" x14ac:dyDescent="0.25">
      <c r="A10" s="42" t="s">
        <v>70</v>
      </c>
      <c r="B10" s="2" t="s">
        <v>166</v>
      </c>
      <c r="C10" s="4" t="s">
        <v>32</v>
      </c>
      <c r="D10" s="28" t="s">
        <v>4</v>
      </c>
      <c r="E10" s="29">
        <v>1</v>
      </c>
      <c r="F10" s="29">
        <v>1</v>
      </c>
      <c r="G10" s="47" t="s">
        <v>136</v>
      </c>
      <c r="H10" s="47" t="s">
        <v>129</v>
      </c>
      <c r="I10" s="4" t="s">
        <v>188</v>
      </c>
      <c r="J10" s="21" t="s">
        <v>31</v>
      </c>
      <c r="K10" s="21" t="s">
        <v>31</v>
      </c>
    </row>
    <row r="11" spans="1:11" ht="135" x14ac:dyDescent="0.25">
      <c r="A11" s="42" t="s">
        <v>71</v>
      </c>
      <c r="B11" s="2" t="s">
        <v>167</v>
      </c>
      <c r="C11" s="4" t="s">
        <v>66</v>
      </c>
      <c r="D11" s="28" t="s">
        <v>4</v>
      </c>
      <c r="E11" s="29">
        <v>1</v>
      </c>
      <c r="F11" s="29">
        <v>1</v>
      </c>
      <c r="G11" s="47" t="s">
        <v>138</v>
      </c>
      <c r="H11" s="47" t="s">
        <v>129</v>
      </c>
      <c r="I11" s="4" t="s">
        <v>131</v>
      </c>
      <c r="J11" s="21" t="s">
        <v>191</v>
      </c>
      <c r="K11" s="21" t="s">
        <v>191</v>
      </c>
    </row>
    <row r="12" spans="1:11" ht="120" x14ac:dyDescent="0.25">
      <c r="A12" s="42" t="s">
        <v>72</v>
      </c>
      <c r="B12" s="2" t="s">
        <v>168</v>
      </c>
      <c r="C12" s="4" t="s">
        <v>67</v>
      </c>
      <c r="D12" s="28" t="s">
        <v>4</v>
      </c>
      <c r="E12" s="29">
        <v>1</v>
      </c>
      <c r="F12" s="29">
        <v>1</v>
      </c>
      <c r="G12" s="47" t="s">
        <v>132</v>
      </c>
      <c r="H12" s="47" t="s">
        <v>129</v>
      </c>
      <c r="I12" s="4" t="s">
        <v>140</v>
      </c>
      <c r="J12" s="21" t="s">
        <v>190</v>
      </c>
      <c r="K12" s="21" t="s">
        <v>190</v>
      </c>
    </row>
    <row r="13" spans="1:11" ht="45" x14ac:dyDescent="0.25">
      <c r="A13" s="42" t="s">
        <v>73</v>
      </c>
      <c r="B13" s="2" t="s">
        <v>169</v>
      </c>
      <c r="C13" s="4" t="s">
        <v>32</v>
      </c>
      <c r="D13" s="28" t="s">
        <v>4</v>
      </c>
      <c r="E13" s="29">
        <v>1</v>
      </c>
      <c r="F13" s="29">
        <v>1</v>
      </c>
      <c r="G13" s="47" t="s">
        <v>134</v>
      </c>
      <c r="H13" s="47" t="s">
        <v>35</v>
      </c>
      <c r="I13" s="4" t="s">
        <v>135</v>
      </c>
      <c r="J13" s="21" t="s">
        <v>31</v>
      </c>
      <c r="K13" s="21" t="s">
        <v>31</v>
      </c>
    </row>
    <row r="14" spans="1:11" ht="135" x14ac:dyDescent="0.25">
      <c r="A14" s="42" t="s">
        <v>74</v>
      </c>
      <c r="B14" s="2" t="s">
        <v>170</v>
      </c>
      <c r="C14" s="4" t="s">
        <v>66</v>
      </c>
      <c r="D14" s="28" t="s">
        <v>4</v>
      </c>
      <c r="E14" s="29">
        <v>1</v>
      </c>
      <c r="F14" s="29">
        <v>1</v>
      </c>
      <c r="G14" s="47" t="s">
        <v>138</v>
      </c>
      <c r="H14" s="47" t="s">
        <v>129</v>
      </c>
      <c r="I14" s="4" t="s">
        <v>131</v>
      </c>
      <c r="J14" s="21" t="s">
        <v>191</v>
      </c>
      <c r="K14" s="21" t="s">
        <v>191</v>
      </c>
    </row>
    <row r="15" spans="1:11" ht="75" x14ac:dyDescent="0.25">
      <c r="A15" s="42" t="s">
        <v>75</v>
      </c>
      <c r="B15" s="2" t="s">
        <v>171</v>
      </c>
      <c r="C15" s="4" t="s">
        <v>67</v>
      </c>
      <c r="D15" s="28" t="s">
        <v>4</v>
      </c>
      <c r="E15" s="29">
        <v>1</v>
      </c>
      <c r="F15" s="29">
        <v>1</v>
      </c>
      <c r="G15" s="47" t="s">
        <v>132</v>
      </c>
      <c r="H15" s="47" t="s">
        <v>129</v>
      </c>
      <c r="I15" s="4" t="s">
        <v>141</v>
      </c>
      <c r="J15" s="21" t="s">
        <v>192</v>
      </c>
      <c r="K15" s="21" t="s">
        <v>192</v>
      </c>
    </row>
    <row r="16" spans="1:11" ht="45" x14ac:dyDescent="0.25">
      <c r="A16" s="42" t="s">
        <v>76</v>
      </c>
      <c r="B16" s="2" t="s">
        <v>172</v>
      </c>
      <c r="C16" s="4" t="s">
        <v>32</v>
      </c>
      <c r="D16" s="28" t="s">
        <v>4</v>
      </c>
      <c r="E16" s="29">
        <v>1</v>
      </c>
      <c r="F16" s="29">
        <v>1</v>
      </c>
      <c r="G16" s="47" t="s">
        <v>134</v>
      </c>
      <c r="H16" s="47" t="s">
        <v>35</v>
      </c>
      <c r="I16" s="4" t="s">
        <v>135</v>
      </c>
      <c r="J16" s="21" t="s">
        <v>31</v>
      </c>
      <c r="K16" s="21" t="s">
        <v>31</v>
      </c>
    </row>
    <row r="17" spans="1:11" ht="135" x14ac:dyDescent="0.25">
      <c r="A17" s="42" t="s">
        <v>77</v>
      </c>
      <c r="B17" s="2" t="s">
        <v>173</v>
      </c>
      <c r="C17" s="4" t="s">
        <v>66</v>
      </c>
      <c r="D17" s="28" t="s">
        <v>4</v>
      </c>
      <c r="E17" s="29">
        <v>1</v>
      </c>
      <c r="F17" s="29">
        <v>1</v>
      </c>
      <c r="G17" s="47" t="s">
        <v>138</v>
      </c>
      <c r="H17" s="47" t="s">
        <v>129</v>
      </c>
      <c r="I17" s="4" t="s">
        <v>131</v>
      </c>
      <c r="J17" s="21" t="s">
        <v>191</v>
      </c>
      <c r="K17" s="21" t="s">
        <v>191</v>
      </c>
    </row>
    <row r="18" spans="1:11" ht="90" x14ac:dyDescent="0.25">
      <c r="A18" s="42" t="s">
        <v>78</v>
      </c>
      <c r="B18" s="2" t="s">
        <v>174</v>
      </c>
      <c r="C18" s="4" t="s">
        <v>67</v>
      </c>
      <c r="D18" s="28" t="s">
        <v>4</v>
      </c>
      <c r="E18" s="29">
        <v>1</v>
      </c>
      <c r="F18" s="29">
        <v>1</v>
      </c>
      <c r="G18" s="47" t="s">
        <v>132</v>
      </c>
      <c r="H18" s="47" t="s">
        <v>129</v>
      </c>
      <c r="I18" s="4" t="s">
        <v>227</v>
      </c>
      <c r="J18" s="21" t="s">
        <v>31</v>
      </c>
      <c r="K18" s="21" t="s">
        <v>31</v>
      </c>
    </row>
    <row r="19" spans="1:11" ht="45" x14ac:dyDescent="0.25">
      <c r="A19" s="42" t="s">
        <v>79</v>
      </c>
      <c r="B19" s="2" t="s">
        <v>175</v>
      </c>
      <c r="C19" s="4" t="s">
        <v>32</v>
      </c>
      <c r="D19" s="28" t="s">
        <v>4</v>
      </c>
      <c r="E19" s="29">
        <v>1</v>
      </c>
      <c r="F19" s="29">
        <v>1</v>
      </c>
      <c r="G19" s="47" t="s">
        <v>134</v>
      </c>
      <c r="H19" s="47" t="s">
        <v>35</v>
      </c>
      <c r="I19" s="4" t="s">
        <v>135</v>
      </c>
      <c r="J19" s="21" t="s">
        <v>31</v>
      </c>
      <c r="K19" s="21" t="s">
        <v>31</v>
      </c>
    </row>
    <row r="20" spans="1:11" ht="135" x14ac:dyDescent="0.25">
      <c r="A20" s="42" t="s">
        <v>80</v>
      </c>
      <c r="B20" s="2" t="s">
        <v>176</v>
      </c>
      <c r="C20" s="4" t="s">
        <v>66</v>
      </c>
      <c r="D20" s="28" t="s">
        <v>4</v>
      </c>
      <c r="E20" s="29">
        <v>1</v>
      </c>
      <c r="F20" s="29">
        <v>1</v>
      </c>
      <c r="G20" s="47" t="s">
        <v>138</v>
      </c>
      <c r="H20" s="47" t="s">
        <v>129</v>
      </c>
      <c r="I20" s="4" t="s">
        <v>131</v>
      </c>
      <c r="J20" s="21" t="s">
        <v>191</v>
      </c>
      <c r="K20" s="21" t="s">
        <v>191</v>
      </c>
    </row>
    <row r="21" spans="1:11" ht="75" x14ac:dyDescent="0.25">
      <c r="A21" s="42" t="s">
        <v>81</v>
      </c>
      <c r="B21" s="2" t="s">
        <v>177</v>
      </c>
      <c r="C21" s="4" t="s">
        <v>67</v>
      </c>
      <c r="D21" s="28" t="s">
        <v>4</v>
      </c>
      <c r="E21" s="29">
        <v>1</v>
      </c>
      <c r="F21" s="29">
        <v>1</v>
      </c>
      <c r="G21" s="47" t="s">
        <v>132</v>
      </c>
      <c r="H21" s="47" t="s">
        <v>129</v>
      </c>
      <c r="I21" s="4" t="s">
        <v>139</v>
      </c>
      <c r="J21" s="21" t="s">
        <v>193</v>
      </c>
      <c r="K21" s="21" t="s">
        <v>194</v>
      </c>
    </row>
    <row r="22" spans="1:11" ht="45" x14ac:dyDescent="0.25">
      <c r="A22" s="42" t="s">
        <v>82</v>
      </c>
      <c r="B22" s="2" t="s">
        <v>178</v>
      </c>
      <c r="C22" s="4" t="s">
        <v>32</v>
      </c>
      <c r="D22" s="28" t="s">
        <v>4</v>
      </c>
      <c r="E22" s="29">
        <v>1</v>
      </c>
      <c r="F22" s="29">
        <v>1</v>
      </c>
      <c r="G22" s="47" t="s">
        <v>134</v>
      </c>
      <c r="H22" s="47" t="s">
        <v>35</v>
      </c>
      <c r="I22" s="4" t="s">
        <v>135</v>
      </c>
      <c r="J22" s="21" t="s">
        <v>31</v>
      </c>
      <c r="K22" s="21" t="s">
        <v>31</v>
      </c>
    </row>
    <row r="23" spans="1:11" ht="135" x14ac:dyDescent="0.25">
      <c r="A23" s="42" t="s">
        <v>83</v>
      </c>
      <c r="B23" s="2" t="s">
        <v>179</v>
      </c>
      <c r="C23" s="4" t="s">
        <v>66</v>
      </c>
      <c r="D23" s="28" t="s">
        <v>4</v>
      </c>
      <c r="E23" s="29">
        <v>1</v>
      </c>
      <c r="F23" s="29">
        <v>1</v>
      </c>
      <c r="G23" s="47" t="s">
        <v>138</v>
      </c>
      <c r="H23" s="47" t="s">
        <v>129</v>
      </c>
      <c r="I23" s="4" t="s">
        <v>131</v>
      </c>
      <c r="J23" s="21" t="s">
        <v>191</v>
      </c>
      <c r="K23" s="21" t="s">
        <v>191</v>
      </c>
    </row>
    <row r="24" spans="1:11" ht="120" x14ac:dyDescent="0.25">
      <c r="A24" s="42" t="s">
        <v>84</v>
      </c>
      <c r="B24" s="2" t="s">
        <v>180</v>
      </c>
      <c r="C24" s="4" t="s">
        <v>67</v>
      </c>
      <c r="D24" s="28" t="s">
        <v>4</v>
      </c>
      <c r="E24" s="29">
        <v>1</v>
      </c>
      <c r="F24" s="29">
        <v>1</v>
      </c>
      <c r="G24" s="47" t="s">
        <v>132</v>
      </c>
      <c r="H24" s="47" t="s">
        <v>129</v>
      </c>
      <c r="I24" s="4" t="s">
        <v>142</v>
      </c>
      <c r="J24" s="21" t="s">
        <v>31</v>
      </c>
      <c r="K24" s="21" t="s">
        <v>223</v>
      </c>
    </row>
    <row r="25" spans="1:11" ht="45" x14ac:dyDescent="0.25">
      <c r="A25" s="42" t="s">
        <v>85</v>
      </c>
      <c r="B25" s="2" t="s">
        <v>181</v>
      </c>
      <c r="C25" s="4" t="s">
        <v>32</v>
      </c>
      <c r="D25" s="28" t="s">
        <v>4</v>
      </c>
      <c r="E25" s="29">
        <v>1</v>
      </c>
      <c r="F25" s="29">
        <v>1</v>
      </c>
      <c r="G25" s="47" t="s">
        <v>134</v>
      </c>
      <c r="H25" s="47" t="s">
        <v>35</v>
      </c>
      <c r="I25" s="4" t="s">
        <v>135</v>
      </c>
      <c r="J25" s="21" t="s">
        <v>31</v>
      </c>
      <c r="K25" s="21" t="s">
        <v>31</v>
      </c>
    </row>
  </sheetData>
  <autoFilter ref="A7:J25" xr:uid="{25F1E6B0-5103-4376-8B88-5EBBE6B0FE72}"/>
  <conditionalFormatting sqref="D10 D12">
    <cfRule type="cellIs" dxfId="371" priority="139" operator="equal">
      <formula>"Error"</formula>
    </cfRule>
    <cfRule type="cellIs" dxfId="370" priority="140" operator="equal">
      <formula>"Not Tested"</formula>
    </cfRule>
    <cfRule type="cellIs" dxfId="369" priority="141" operator="equal">
      <formula>"In Progress"</formula>
    </cfRule>
  </conditionalFormatting>
  <conditionalFormatting sqref="D11 D13">
    <cfRule type="cellIs" dxfId="368" priority="148" operator="equal">
      <formula>"In Progress"</formula>
    </cfRule>
    <cfRule type="cellIs" dxfId="367" priority="149" operator="equal">
      <formula>"Not Tested"</formula>
    </cfRule>
    <cfRule type="cellIs" dxfId="366" priority="150" operator="equal">
      <formula>"Tested"</formula>
    </cfRule>
  </conditionalFormatting>
  <conditionalFormatting sqref="D11 D13">
    <cfRule type="cellIs" dxfId="365" priority="145" operator="equal">
      <formula>"Error"</formula>
    </cfRule>
    <cfRule type="cellIs" dxfId="364" priority="146" operator="equal">
      <formula>"Not Tested"</formula>
    </cfRule>
    <cfRule type="cellIs" dxfId="363" priority="147" operator="equal">
      <formula>"In Progress"</formula>
    </cfRule>
  </conditionalFormatting>
  <conditionalFormatting sqref="D10 D12">
    <cfRule type="cellIs" dxfId="362" priority="142" operator="equal">
      <formula>"In Progress"</formula>
    </cfRule>
    <cfRule type="cellIs" dxfId="361" priority="143" operator="equal">
      <formula>"Not Tested"</formula>
    </cfRule>
    <cfRule type="cellIs" dxfId="360" priority="144" operator="equal">
      <formula>"Tested"</formula>
    </cfRule>
  </conditionalFormatting>
  <conditionalFormatting sqref="D9">
    <cfRule type="cellIs" dxfId="359" priority="133" operator="equal">
      <formula>"Error"</formula>
    </cfRule>
    <cfRule type="cellIs" dxfId="358" priority="134" operator="equal">
      <formula>"Not Tested"</formula>
    </cfRule>
    <cfRule type="cellIs" dxfId="357" priority="135" operator="equal">
      <formula>"In Progress"</formula>
    </cfRule>
  </conditionalFormatting>
  <conditionalFormatting sqref="D9">
    <cfRule type="cellIs" dxfId="356" priority="136" operator="equal">
      <formula>"In Progress"</formula>
    </cfRule>
    <cfRule type="cellIs" dxfId="355" priority="137" operator="equal">
      <formula>"Not Tested"</formula>
    </cfRule>
    <cfRule type="cellIs" dxfId="354" priority="138" operator="equal">
      <formula>"Tested"</formula>
    </cfRule>
  </conditionalFormatting>
  <conditionalFormatting sqref="D14">
    <cfRule type="cellIs" dxfId="353" priority="130" operator="equal">
      <formula>"In Progress"</formula>
    </cfRule>
    <cfRule type="cellIs" dxfId="352" priority="131" operator="equal">
      <formula>"Not Tested"</formula>
    </cfRule>
    <cfRule type="cellIs" dxfId="351" priority="132" operator="equal">
      <formula>"Tested"</formula>
    </cfRule>
  </conditionalFormatting>
  <conditionalFormatting sqref="D14">
    <cfRule type="cellIs" dxfId="350" priority="127" operator="equal">
      <formula>"Error"</formula>
    </cfRule>
    <cfRule type="cellIs" dxfId="349" priority="128" operator="equal">
      <formula>"Not Tested"</formula>
    </cfRule>
    <cfRule type="cellIs" dxfId="348" priority="129" operator="equal">
      <formula>"In Progress"</formula>
    </cfRule>
  </conditionalFormatting>
  <conditionalFormatting sqref="D16">
    <cfRule type="cellIs" dxfId="347" priority="118" operator="equal">
      <formula>"In Progress"</formula>
    </cfRule>
    <cfRule type="cellIs" dxfId="346" priority="119" operator="equal">
      <formula>"Not Tested"</formula>
    </cfRule>
    <cfRule type="cellIs" dxfId="345" priority="120" operator="equal">
      <formula>"Tested"</formula>
    </cfRule>
  </conditionalFormatting>
  <conditionalFormatting sqref="D16">
    <cfRule type="cellIs" dxfId="344" priority="115" operator="equal">
      <formula>"Error"</formula>
    </cfRule>
    <cfRule type="cellIs" dxfId="343" priority="116" operator="equal">
      <formula>"Not Tested"</formula>
    </cfRule>
    <cfRule type="cellIs" dxfId="342" priority="117" operator="equal">
      <formula>"In Progress"</formula>
    </cfRule>
  </conditionalFormatting>
  <conditionalFormatting sqref="D17">
    <cfRule type="cellIs" dxfId="341" priority="112" operator="equal">
      <formula>"In Progress"</formula>
    </cfRule>
    <cfRule type="cellIs" dxfId="340" priority="113" operator="equal">
      <formula>"Not Tested"</formula>
    </cfRule>
    <cfRule type="cellIs" dxfId="339" priority="114" operator="equal">
      <formula>"Tested"</formula>
    </cfRule>
  </conditionalFormatting>
  <conditionalFormatting sqref="D17">
    <cfRule type="cellIs" dxfId="338" priority="109" operator="equal">
      <formula>"Error"</formula>
    </cfRule>
    <cfRule type="cellIs" dxfId="337" priority="110" operator="equal">
      <formula>"Not Tested"</formula>
    </cfRule>
    <cfRule type="cellIs" dxfId="336" priority="111" operator="equal">
      <formula>"In Progress"</formula>
    </cfRule>
  </conditionalFormatting>
  <conditionalFormatting sqref="D19">
    <cfRule type="cellIs" dxfId="335" priority="100" operator="equal">
      <formula>"In Progress"</formula>
    </cfRule>
    <cfRule type="cellIs" dxfId="334" priority="101" operator="equal">
      <formula>"Not Tested"</formula>
    </cfRule>
    <cfRule type="cellIs" dxfId="333" priority="102" operator="equal">
      <formula>"Tested"</formula>
    </cfRule>
  </conditionalFormatting>
  <conditionalFormatting sqref="D19">
    <cfRule type="cellIs" dxfId="332" priority="97" operator="equal">
      <formula>"Error"</formula>
    </cfRule>
    <cfRule type="cellIs" dxfId="331" priority="98" operator="equal">
      <formula>"Not Tested"</formula>
    </cfRule>
    <cfRule type="cellIs" dxfId="330" priority="99" operator="equal">
      <formula>"In Progress"</formula>
    </cfRule>
  </conditionalFormatting>
  <conditionalFormatting sqref="D25">
    <cfRule type="cellIs" dxfId="329" priority="79" operator="equal">
      <formula>"Error"</formula>
    </cfRule>
    <cfRule type="cellIs" dxfId="328" priority="80" operator="equal">
      <formula>"Not Tested"</formula>
    </cfRule>
    <cfRule type="cellIs" dxfId="327" priority="81" operator="equal">
      <formula>"In Progress"</formula>
    </cfRule>
  </conditionalFormatting>
  <conditionalFormatting sqref="D25">
    <cfRule type="cellIs" dxfId="326" priority="82" operator="equal">
      <formula>"In Progress"</formula>
    </cfRule>
    <cfRule type="cellIs" dxfId="325" priority="83" operator="equal">
      <formula>"Not Tested"</formula>
    </cfRule>
    <cfRule type="cellIs" dxfId="324" priority="84" operator="equal">
      <formula>"Tested"</formula>
    </cfRule>
  </conditionalFormatting>
  <conditionalFormatting sqref="D22">
    <cfRule type="cellIs" dxfId="323" priority="88" operator="equal">
      <formula>"In Progress"</formula>
    </cfRule>
    <cfRule type="cellIs" dxfId="322" priority="89" operator="equal">
      <formula>"Not Tested"</formula>
    </cfRule>
    <cfRule type="cellIs" dxfId="321" priority="90" operator="equal">
      <formula>"Tested"</formula>
    </cfRule>
  </conditionalFormatting>
  <conditionalFormatting sqref="D22">
    <cfRule type="cellIs" dxfId="320" priority="85" operator="equal">
      <formula>"Error"</formula>
    </cfRule>
    <cfRule type="cellIs" dxfId="319" priority="86" operator="equal">
      <formula>"Not Tested"</formula>
    </cfRule>
    <cfRule type="cellIs" dxfId="318" priority="87" operator="equal">
      <formula>"In Progress"</formula>
    </cfRule>
  </conditionalFormatting>
  <conditionalFormatting sqref="D24">
    <cfRule type="cellIs" dxfId="317" priority="7" operator="equal">
      <formula>"Error"</formula>
    </cfRule>
    <cfRule type="cellIs" dxfId="316" priority="8" operator="equal">
      <formula>"Not Tested"</formula>
    </cfRule>
    <cfRule type="cellIs" dxfId="315" priority="9" operator="equal">
      <formula>"In Progress"</formula>
    </cfRule>
  </conditionalFormatting>
  <conditionalFormatting sqref="D20">
    <cfRule type="cellIs" dxfId="314" priority="76" operator="equal">
      <formula>"In Progress"</formula>
    </cfRule>
    <cfRule type="cellIs" dxfId="313" priority="77" operator="equal">
      <formula>"Not Tested"</formula>
    </cfRule>
    <cfRule type="cellIs" dxfId="312" priority="78" operator="equal">
      <formula>"Tested"</formula>
    </cfRule>
  </conditionalFormatting>
  <conditionalFormatting sqref="D20">
    <cfRule type="cellIs" dxfId="311" priority="73" operator="equal">
      <formula>"Error"</formula>
    </cfRule>
    <cfRule type="cellIs" dxfId="310" priority="74" operator="equal">
      <formula>"Not Tested"</formula>
    </cfRule>
    <cfRule type="cellIs" dxfId="309" priority="75" operator="equal">
      <formula>"In Progress"</formula>
    </cfRule>
  </conditionalFormatting>
  <conditionalFormatting sqref="D23">
    <cfRule type="cellIs" dxfId="308" priority="70" operator="equal">
      <formula>"In Progress"</formula>
    </cfRule>
    <cfRule type="cellIs" dxfId="307" priority="71" operator="equal">
      <formula>"Not Tested"</formula>
    </cfRule>
    <cfRule type="cellIs" dxfId="306" priority="72" operator="equal">
      <formula>"Tested"</formula>
    </cfRule>
  </conditionalFormatting>
  <conditionalFormatting sqref="D23">
    <cfRule type="cellIs" dxfId="305" priority="67" operator="equal">
      <formula>"Error"</formula>
    </cfRule>
    <cfRule type="cellIs" dxfId="304" priority="68" operator="equal">
      <formula>"Not Tested"</formula>
    </cfRule>
    <cfRule type="cellIs" dxfId="303" priority="69" operator="equal">
      <formula>"In Progress"</formula>
    </cfRule>
  </conditionalFormatting>
  <conditionalFormatting sqref="D24">
    <cfRule type="cellIs" dxfId="302" priority="10" operator="equal">
      <formula>"In Progress"</formula>
    </cfRule>
    <cfRule type="cellIs" dxfId="301" priority="11" operator="equal">
      <formula>"Not Tested"</formula>
    </cfRule>
    <cfRule type="cellIs" dxfId="300" priority="12" operator="equal">
      <formula>"Tested"</formula>
    </cfRule>
  </conditionalFormatting>
  <conditionalFormatting sqref="D15">
    <cfRule type="cellIs" dxfId="299" priority="43" operator="equal">
      <formula>"Error"</formula>
    </cfRule>
    <cfRule type="cellIs" dxfId="298" priority="44" operator="equal">
      <formula>"Not Tested"</formula>
    </cfRule>
    <cfRule type="cellIs" dxfId="297" priority="45" operator="equal">
      <formula>"In Progress"</formula>
    </cfRule>
  </conditionalFormatting>
  <conditionalFormatting sqref="D15">
    <cfRule type="cellIs" dxfId="296" priority="46" operator="equal">
      <formula>"In Progress"</formula>
    </cfRule>
    <cfRule type="cellIs" dxfId="295" priority="47" operator="equal">
      <formula>"Not Tested"</formula>
    </cfRule>
    <cfRule type="cellIs" dxfId="294" priority="48" operator="equal">
      <formula>"Tested"</formula>
    </cfRule>
  </conditionalFormatting>
  <conditionalFormatting sqref="D21">
    <cfRule type="cellIs" dxfId="287" priority="25" operator="equal">
      <formula>"Error"</formula>
    </cfRule>
    <cfRule type="cellIs" dxfId="286" priority="26" operator="equal">
      <formula>"Not Tested"</formula>
    </cfRule>
    <cfRule type="cellIs" dxfId="285" priority="27" operator="equal">
      <formula>"In Progress"</formula>
    </cfRule>
  </conditionalFormatting>
  <conditionalFormatting sqref="D21">
    <cfRule type="cellIs" dxfId="284" priority="28" operator="equal">
      <formula>"In Progress"</formula>
    </cfRule>
    <cfRule type="cellIs" dxfId="283" priority="29" operator="equal">
      <formula>"Not Tested"</formula>
    </cfRule>
    <cfRule type="cellIs" dxfId="282" priority="30" operator="equal">
      <formula>"Tested"</formula>
    </cfRule>
  </conditionalFormatting>
  <conditionalFormatting sqref="D8">
    <cfRule type="cellIs" dxfId="281" priority="13" operator="equal">
      <formula>"Error"</formula>
    </cfRule>
    <cfRule type="cellIs" dxfId="280" priority="14" operator="equal">
      <formula>"Not Tested"</formula>
    </cfRule>
    <cfRule type="cellIs" dxfId="279" priority="15" operator="equal">
      <formula>"In Progress"</formula>
    </cfRule>
  </conditionalFormatting>
  <conditionalFormatting sqref="D8">
    <cfRule type="cellIs" dxfId="278" priority="16" operator="equal">
      <formula>"In Progress"</formula>
    </cfRule>
    <cfRule type="cellIs" dxfId="277" priority="17" operator="equal">
      <formula>"Not Tested"</formula>
    </cfRule>
    <cfRule type="cellIs" dxfId="276" priority="18" operator="equal">
      <formula>"Tested"</formula>
    </cfRule>
  </conditionalFormatting>
  <conditionalFormatting sqref="D18">
    <cfRule type="cellIs" dxfId="17" priority="1" operator="equal">
      <formula>"Error"</formula>
    </cfRule>
    <cfRule type="cellIs" dxfId="16" priority="2" operator="equal">
      <formula>"Not Tested"</formula>
    </cfRule>
    <cfRule type="cellIs" dxfId="15" priority="3" operator="equal">
      <formula>"In Progress"</formula>
    </cfRule>
  </conditionalFormatting>
  <conditionalFormatting sqref="D18">
    <cfRule type="cellIs" dxfId="14" priority="4" operator="equal">
      <formula>"In Progress"</formula>
    </cfRule>
    <cfRule type="cellIs" dxfId="13" priority="5" operator="equal">
      <formula>"Not Tested"</formula>
    </cfRule>
    <cfRule type="cellIs" dxfId="12" priority="6" operator="equal">
      <formula>"Tested"</formula>
    </cfRule>
  </conditionalFormatting>
  <dataValidations count="1">
    <dataValidation type="list" allowBlank="1" showInputMessage="1" showErrorMessage="1" sqref="D8:D25" xr:uid="{8DB7E55B-4C7F-4DD3-A683-94E3C04B9DE8}">
      <formula1>$D$2:$D$5</formula1>
    </dataValidation>
  </dataValidations>
  <pageMargins left="0.25" right="0.25" top="0.75" bottom="0.75" header="0.3" footer="0.3"/>
  <pageSetup paperSize="9" scale="5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DF04-18CB-4FE7-BC62-0D2569963366}">
  <sheetPr>
    <tabColor theme="8" tint="0.39997558519241921"/>
    <pageSetUpPr fitToPage="1"/>
  </sheetPr>
  <dimension ref="A1:K39"/>
  <sheetViews>
    <sheetView zoomScale="90" zoomScaleNormal="90" workbookViewId="0">
      <pane ySplit="7" topLeftCell="A32" activePane="bottomLeft" state="frozen"/>
      <selection activeCell="I6" sqref="I6"/>
      <selection pane="bottomLeft" activeCell="I32" sqref="I32"/>
    </sheetView>
  </sheetViews>
  <sheetFormatPr defaultRowHeight="15" x14ac:dyDescent="0.25"/>
  <cols>
    <col min="1" max="1" width="22.140625" style="1" customWidth="1"/>
    <col min="2" max="2" width="9" style="51" customWidth="1"/>
    <col min="3" max="3" width="13.5703125" style="1" customWidth="1"/>
    <col min="4" max="4" width="11" style="1" bestFit="1" customWidth="1"/>
    <col min="5" max="5" width="11.85546875" style="1" bestFit="1" customWidth="1"/>
    <col min="6" max="6" width="16.42578125" style="1" bestFit="1" customWidth="1"/>
    <col min="7" max="7" width="32.85546875" style="1" customWidth="1"/>
    <col min="8" max="8" width="22.7109375" style="1" customWidth="1"/>
    <col min="9" max="11" width="27.7109375" style="1" customWidth="1"/>
    <col min="12" max="16384" width="9.140625" style="1"/>
  </cols>
  <sheetData>
    <row r="1" spans="1:11" s="9" customFormat="1" ht="18.75" x14ac:dyDescent="0.25">
      <c r="A1" s="5" t="s">
        <v>198</v>
      </c>
      <c r="B1" s="40"/>
    </row>
    <row r="2" spans="1:11" x14ac:dyDescent="0.25">
      <c r="A2" s="10" t="s">
        <v>6</v>
      </c>
      <c r="B2" s="51">
        <f>SUM(E8:E93)</f>
        <v>32</v>
      </c>
      <c r="D2" s="11" t="s">
        <v>4</v>
      </c>
    </row>
    <row r="3" spans="1:11" x14ac:dyDescent="0.25">
      <c r="A3" s="10" t="s">
        <v>7</v>
      </c>
      <c r="B3" s="51">
        <f>SUM(F8:F93)</f>
        <v>32</v>
      </c>
      <c r="D3" s="13" t="s">
        <v>8</v>
      </c>
    </row>
    <row r="4" spans="1:11" x14ac:dyDescent="0.25">
      <c r="A4" s="10" t="s">
        <v>9</v>
      </c>
      <c r="B4" s="52">
        <f>B3/B2</f>
        <v>1</v>
      </c>
      <c r="D4" s="15" t="s">
        <v>10</v>
      </c>
    </row>
    <row r="5" spans="1:11" x14ac:dyDescent="0.25">
      <c r="A5" s="10"/>
      <c r="B5" s="52"/>
      <c r="D5" s="16" t="s">
        <v>11</v>
      </c>
    </row>
    <row r="7" spans="1:11" s="20" customFormat="1" ht="30" x14ac:dyDescent="0.25">
      <c r="A7" s="17" t="s">
        <v>18</v>
      </c>
      <c r="B7" s="17" t="s">
        <v>12</v>
      </c>
      <c r="C7" s="18" t="s">
        <v>13</v>
      </c>
      <c r="D7" s="18" t="s">
        <v>14</v>
      </c>
      <c r="E7" s="19" t="s">
        <v>15</v>
      </c>
      <c r="F7" s="19" t="s">
        <v>16</v>
      </c>
      <c r="G7" s="19" t="s">
        <v>25</v>
      </c>
      <c r="H7" s="19" t="s">
        <v>26</v>
      </c>
      <c r="I7" s="18" t="s">
        <v>27</v>
      </c>
      <c r="J7" s="41" t="s">
        <v>195</v>
      </c>
      <c r="K7" s="41" t="s">
        <v>196</v>
      </c>
    </row>
    <row r="8" spans="1:11" ht="135" x14ac:dyDescent="0.25">
      <c r="A8" s="42" t="s">
        <v>33</v>
      </c>
      <c r="B8" s="2" t="s">
        <v>145</v>
      </c>
      <c r="C8" s="4" t="s">
        <v>62</v>
      </c>
      <c r="D8" s="28" t="s">
        <v>4</v>
      </c>
      <c r="E8" s="29">
        <v>1</v>
      </c>
      <c r="F8" s="29">
        <v>1</v>
      </c>
      <c r="G8" s="54" t="s">
        <v>48</v>
      </c>
      <c r="H8" s="47" t="s">
        <v>46</v>
      </c>
      <c r="I8" s="4" t="s">
        <v>91</v>
      </c>
      <c r="J8" s="21" t="s">
        <v>197</v>
      </c>
      <c r="K8" s="2" t="s">
        <v>31</v>
      </c>
    </row>
    <row r="9" spans="1:11" ht="195" x14ac:dyDescent="0.25">
      <c r="A9" s="42" t="s">
        <v>36</v>
      </c>
      <c r="B9" s="2" t="s">
        <v>147</v>
      </c>
      <c r="C9" s="4" t="s">
        <v>59</v>
      </c>
      <c r="D9" s="28" t="s">
        <v>4</v>
      </c>
      <c r="E9" s="29">
        <v>1</v>
      </c>
      <c r="F9" s="29">
        <v>1</v>
      </c>
      <c r="G9" s="47" t="s">
        <v>49</v>
      </c>
      <c r="H9" s="47" t="s">
        <v>53</v>
      </c>
      <c r="I9" s="4" t="s">
        <v>54</v>
      </c>
      <c r="J9" s="21" t="s">
        <v>31</v>
      </c>
      <c r="K9" s="21" t="s">
        <v>31</v>
      </c>
    </row>
    <row r="10" spans="1:11" ht="90" x14ac:dyDescent="0.25">
      <c r="A10" s="42" t="s">
        <v>37</v>
      </c>
      <c r="B10" s="2" t="s">
        <v>149</v>
      </c>
      <c r="C10" s="4" t="s">
        <v>59</v>
      </c>
      <c r="D10" s="28" t="s">
        <v>4</v>
      </c>
      <c r="E10" s="29">
        <v>1</v>
      </c>
      <c r="F10" s="29">
        <v>1</v>
      </c>
      <c r="G10" s="47" t="s">
        <v>90</v>
      </c>
      <c r="H10" s="47" t="s">
        <v>86</v>
      </c>
      <c r="I10" s="4" t="s">
        <v>87</v>
      </c>
      <c r="J10" s="21" t="s">
        <v>200</v>
      </c>
      <c r="K10" s="2" t="s">
        <v>31</v>
      </c>
    </row>
    <row r="11" spans="1:11" ht="120" x14ac:dyDescent="0.25">
      <c r="A11" s="42" t="s">
        <v>38</v>
      </c>
      <c r="B11" s="2" t="s">
        <v>151</v>
      </c>
      <c r="C11" s="4" t="s">
        <v>59</v>
      </c>
      <c r="D11" s="28" t="s">
        <v>4</v>
      </c>
      <c r="E11" s="29">
        <v>1</v>
      </c>
      <c r="F11" s="29">
        <v>1</v>
      </c>
      <c r="G11" s="47" t="s">
        <v>93</v>
      </c>
      <c r="H11" s="47" t="s">
        <v>94</v>
      </c>
      <c r="I11" s="4" t="s">
        <v>95</v>
      </c>
      <c r="J11" s="21" t="s">
        <v>201</v>
      </c>
      <c r="K11" s="2" t="s">
        <v>31</v>
      </c>
    </row>
    <row r="12" spans="1:11" ht="120" x14ac:dyDescent="0.25">
      <c r="A12" s="42" t="s">
        <v>40</v>
      </c>
      <c r="B12" s="2" t="s">
        <v>153</v>
      </c>
      <c r="C12" s="4" t="s">
        <v>59</v>
      </c>
      <c r="D12" s="28" t="s">
        <v>4</v>
      </c>
      <c r="E12" s="29">
        <v>1</v>
      </c>
      <c r="F12" s="29">
        <v>1</v>
      </c>
      <c r="G12" s="47" t="s">
        <v>97</v>
      </c>
      <c r="H12" s="47" t="s">
        <v>86</v>
      </c>
      <c r="I12" s="4" t="s">
        <v>96</v>
      </c>
      <c r="J12" s="21" t="s">
        <v>201</v>
      </c>
      <c r="K12" s="2" t="s">
        <v>31</v>
      </c>
    </row>
    <row r="13" spans="1:11" ht="60" x14ac:dyDescent="0.25">
      <c r="A13" s="42" t="s">
        <v>39</v>
      </c>
      <c r="B13" s="2" t="s">
        <v>155</v>
      </c>
      <c r="C13" s="4" t="s">
        <v>59</v>
      </c>
      <c r="D13" s="28" t="s">
        <v>4</v>
      </c>
      <c r="E13" s="29">
        <v>1</v>
      </c>
      <c r="F13" s="29">
        <v>1</v>
      </c>
      <c r="G13" s="47" t="s">
        <v>106</v>
      </c>
      <c r="H13" s="47" t="s">
        <v>86</v>
      </c>
      <c r="I13" s="4" t="s">
        <v>108</v>
      </c>
      <c r="J13" s="2" t="s">
        <v>31</v>
      </c>
      <c r="K13" s="2" t="s">
        <v>31</v>
      </c>
    </row>
    <row r="14" spans="1:11" ht="60" x14ac:dyDescent="0.25">
      <c r="A14" s="42" t="s">
        <v>61</v>
      </c>
      <c r="B14" s="2" t="s">
        <v>156</v>
      </c>
      <c r="C14" s="4" t="s">
        <v>59</v>
      </c>
      <c r="D14" s="28" t="s">
        <v>4</v>
      </c>
      <c r="E14" s="29">
        <v>1</v>
      </c>
      <c r="F14" s="29">
        <v>1</v>
      </c>
      <c r="G14" s="47" t="s">
        <v>101</v>
      </c>
      <c r="H14" s="47" t="s">
        <v>102</v>
      </c>
      <c r="I14" s="4" t="s">
        <v>103</v>
      </c>
      <c r="J14" s="21" t="s">
        <v>202</v>
      </c>
      <c r="K14" s="2" t="s">
        <v>31</v>
      </c>
    </row>
    <row r="15" spans="1:11" ht="60" x14ac:dyDescent="0.25">
      <c r="A15" s="42" t="s">
        <v>41</v>
      </c>
      <c r="B15" s="2" t="s">
        <v>157</v>
      </c>
      <c r="C15" s="4" t="s">
        <v>59</v>
      </c>
      <c r="D15" s="28" t="s">
        <v>4</v>
      </c>
      <c r="E15" s="29">
        <v>1</v>
      </c>
      <c r="F15" s="29">
        <v>1</v>
      </c>
      <c r="G15" s="47" t="s">
        <v>110</v>
      </c>
      <c r="H15" s="47" t="s">
        <v>111</v>
      </c>
      <c r="I15" s="4" t="s">
        <v>112</v>
      </c>
      <c r="J15" s="21" t="s">
        <v>31</v>
      </c>
      <c r="K15" s="2" t="s">
        <v>31</v>
      </c>
    </row>
    <row r="16" spans="1:11" ht="105" x14ac:dyDescent="0.25">
      <c r="A16" s="42" t="s">
        <v>42</v>
      </c>
      <c r="B16" s="2" t="s">
        <v>158</v>
      </c>
      <c r="C16" s="4" t="s">
        <v>59</v>
      </c>
      <c r="D16" s="28" t="s">
        <v>4</v>
      </c>
      <c r="E16" s="29">
        <v>1</v>
      </c>
      <c r="F16" s="29">
        <v>1</v>
      </c>
      <c r="G16" s="47" t="s">
        <v>113</v>
      </c>
      <c r="H16" s="47" t="s">
        <v>86</v>
      </c>
      <c r="I16" s="4" t="s">
        <v>114</v>
      </c>
      <c r="J16" s="21" t="s">
        <v>203</v>
      </c>
      <c r="K16" s="2" t="s">
        <v>31</v>
      </c>
    </row>
    <row r="17" spans="1:11" ht="105" x14ac:dyDescent="0.25">
      <c r="A17" s="42" t="s">
        <v>44</v>
      </c>
      <c r="B17" s="2" t="s">
        <v>159</v>
      </c>
      <c r="C17" s="4" t="s">
        <v>59</v>
      </c>
      <c r="D17" s="28" t="s">
        <v>4</v>
      </c>
      <c r="E17" s="29">
        <v>1</v>
      </c>
      <c r="F17" s="29">
        <v>1</v>
      </c>
      <c r="G17" s="47" t="s">
        <v>115</v>
      </c>
      <c r="H17" s="47" t="s">
        <v>86</v>
      </c>
      <c r="I17" s="4" t="s">
        <v>116</v>
      </c>
      <c r="J17" s="21" t="s">
        <v>204</v>
      </c>
      <c r="K17" s="2" t="s">
        <v>31</v>
      </c>
    </row>
    <row r="18" spans="1:11" ht="60" x14ac:dyDescent="0.25">
      <c r="A18" s="42" t="s">
        <v>43</v>
      </c>
      <c r="B18" s="2" t="s">
        <v>160</v>
      </c>
      <c r="C18" s="4" t="s">
        <v>59</v>
      </c>
      <c r="D18" s="28" t="s">
        <v>4</v>
      </c>
      <c r="E18" s="29">
        <v>1</v>
      </c>
      <c r="F18" s="29">
        <v>1</v>
      </c>
      <c r="G18" s="47" t="s">
        <v>106</v>
      </c>
      <c r="H18" s="47" t="s">
        <v>86</v>
      </c>
      <c r="I18" s="4" t="s">
        <v>117</v>
      </c>
      <c r="J18" s="2" t="s">
        <v>31</v>
      </c>
      <c r="K18" s="2" t="s">
        <v>31</v>
      </c>
    </row>
    <row r="19" spans="1:11" ht="120" x14ac:dyDescent="0.25">
      <c r="A19" s="42" t="s">
        <v>60</v>
      </c>
      <c r="B19" s="2" t="s">
        <v>161</v>
      </c>
      <c r="C19" s="4" t="s">
        <v>59</v>
      </c>
      <c r="D19" s="28" t="s">
        <v>4</v>
      </c>
      <c r="E19" s="29">
        <v>1</v>
      </c>
      <c r="F19" s="29">
        <v>1</v>
      </c>
      <c r="G19" s="47" t="s">
        <v>119</v>
      </c>
      <c r="H19" s="47" t="s">
        <v>120</v>
      </c>
      <c r="I19" s="4" t="s">
        <v>121</v>
      </c>
      <c r="J19" s="21" t="s">
        <v>205</v>
      </c>
      <c r="K19" s="2" t="s">
        <v>31</v>
      </c>
    </row>
    <row r="20" spans="1:11" ht="105" x14ac:dyDescent="0.25">
      <c r="A20" s="42" t="s">
        <v>57</v>
      </c>
      <c r="B20" s="2" t="s">
        <v>162</v>
      </c>
      <c r="C20" s="4" t="s">
        <v>59</v>
      </c>
      <c r="D20" s="28" t="s">
        <v>4</v>
      </c>
      <c r="E20" s="29">
        <v>1</v>
      </c>
      <c r="F20" s="29">
        <v>1</v>
      </c>
      <c r="G20" s="47" t="s">
        <v>123</v>
      </c>
      <c r="H20" s="47" t="s">
        <v>124</v>
      </c>
      <c r="I20" s="4" t="s">
        <v>125</v>
      </c>
      <c r="J20" s="21" t="s">
        <v>203</v>
      </c>
      <c r="K20" s="2"/>
    </row>
    <row r="21" spans="1:11" ht="45" x14ac:dyDescent="0.25">
      <c r="A21" s="42" t="s">
        <v>56</v>
      </c>
      <c r="B21" s="2" t="s">
        <v>163</v>
      </c>
      <c r="C21" s="4" t="s">
        <v>59</v>
      </c>
      <c r="D21" s="28" t="s">
        <v>4</v>
      </c>
      <c r="E21" s="29">
        <v>1</v>
      </c>
      <c r="F21" s="29">
        <v>1</v>
      </c>
      <c r="G21" s="47" t="s">
        <v>106</v>
      </c>
      <c r="H21" s="47" t="s">
        <v>126</v>
      </c>
      <c r="I21" s="4" t="s">
        <v>127</v>
      </c>
      <c r="J21" s="21" t="s">
        <v>31</v>
      </c>
      <c r="K21" s="2" t="s">
        <v>31</v>
      </c>
    </row>
    <row r="22" spans="1:11" ht="135" x14ac:dyDescent="0.25">
      <c r="A22" s="42" t="s">
        <v>68</v>
      </c>
      <c r="B22" s="2" t="s">
        <v>164</v>
      </c>
      <c r="C22" s="4" t="s">
        <v>66</v>
      </c>
      <c r="D22" s="28" t="s">
        <v>4</v>
      </c>
      <c r="E22" s="29">
        <v>1</v>
      </c>
      <c r="F22" s="29">
        <v>1</v>
      </c>
      <c r="G22" s="47" t="s">
        <v>128</v>
      </c>
      <c r="H22" s="47" t="s">
        <v>129</v>
      </c>
      <c r="I22" s="4" t="s">
        <v>130</v>
      </c>
      <c r="J22" s="4" t="s">
        <v>206</v>
      </c>
      <c r="K22" s="2" t="s">
        <v>31</v>
      </c>
    </row>
    <row r="23" spans="1:11" ht="120" x14ac:dyDescent="0.25">
      <c r="A23" s="42" t="s">
        <v>69</v>
      </c>
      <c r="B23" s="2" t="s">
        <v>165</v>
      </c>
      <c r="C23" s="4" t="s">
        <v>67</v>
      </c>
      <c r="D23" s="28" t="s">
        <v>4</v>
      </c>
      <c r="E23" s="29">
        <v>1</v>
      </c>
      <c r="F23" s="29">
        <v>1</v>
      </c>
      <c r="G23" s="47" t="s">
        <v>132</v>
      </c>
      <c r="H23" s="47" t="s">
        <v>129</v>
      </c>
      <c r="I23" s="4" t="s">
        <v>137</v>
      </c>
      <c r="J23" s="21" t="s">
        <v>31</v>
      </c>
      <c r="K23" s="2" t="s">
        <v>31</v>
      </c>
    </row>
    <row r="24" spans="1:11" ht="105" x14ac:dyDescent="0.25">
      <c r="A24" s="42" t="s">
        <v>70</v>
      </c>
      <c r="B24" s="2" t="s">
        <v>166</v>
      </c>
      <c r="C24" s="4" t="s">
        <v>32</v>
      </c>
      <c r="D24" s="28" t="s">
        <v>4</v>
      </c>
      <c r="E24" s="29">
        <v>1</v>
      </c>
      <c r="F24" s="29">
        <v>1</v>
      </c>
      <c r="G24" s="47" t="s">
        <v>136</v>
      </c>
      <c r="H24" s="47" t="s">
        <v>129</v>
      </c>
      <c r="I24" s="4" t="s">
        <v>133</v>
      </c>
      <c r="J24" s="21"/>
      <c r="K24" s="2"/>
    </row>
    <row r="25" spans="1:11" ht="135" x14ac:dyDescent="0.25">
      <c r="A25" s="42" t="s">
        <v>71</v>
      </c>
      <c r="B25" s="2" t="s">
        <v>167</v>
      </c>
      <c r="C25" s="4" t="s">
        <v>66</v>
      </c>
      <c r="D25" s="28" t="s">
        <v>4</v>
      </c>
      <c r="E25" s="29">
        <v>1</v>
      </c>
      <c r="F25" s="29">
        <v>1</v>
      </c>
      <c r="G25" s="47" t="s">
        <v>138</v>
      </c>
      <c r="H25" s="47" t="s">
        <v>129</v>
      </c>
      <c r="I25" s="4" t="s">
        <v>131</v>
      </c>
      <c r="J25" s="21" t="s">
        <v>191</v>
      </c>
      <c r="K25" s="21" t="s">
        <v>191</v>
      </c>
    </row>
    <row r="26" spans="1:11" ht="120" x14ac:dyDescent="0.25">
      <c r="A26" s="42" t="s">
        <v>72</v>
      </c>
      <c r="B26" s="2" t="s">
        <v>168</v>
      </c>
      <c r="C26" s="4" t="s">
        <v>67</v>
      </c>
      <c r="D26" s="28" t="s">
        <v>4</v>
      </c>
      <c r="E26" s="29">
        <v>1</v>
      </c>
      <c r="F26" s="29">
        <v>1</v>
      </c>
      <c r="G26" s="47" t="s">
        <v>132</v>
      </c>
      <c r="H26" s="47" t="s">
        <v>129</v>
      </c>
      <c r="I26" s="4" t="s">
        <v>140</v>
      </c>
      <c r="J26" s="21" t="s">
        <v>31</v>
      </c>
      <c r="K26" s="2" t="s">
        <v>31</v>
      </c>
    </row>
    <row r="27" spans="1:11" ht="45" x14ac:dyDescent="0.25">
      <c r="A27" s="42" t="s">
        <v>73</v>
      </c>
      <c r="B27" s="2" t="s">
        <v>169</v>
      </c>
      <c r="C27" s="4" t="s">
        <v>32</v>
      </c>
      <c r="D27" s="28" t="s">
        <v>4</v>
      </c>
      <c r="E27" s="29">
        <v>1</v>
      </c>
      <c r="F27" s="29">
        <v>1</v>
      </c>
      <c r="G27" s="47" t="s">
        <v>134</v>
      </c>
      <c r="H27" s="47" t="s">
        <v>35</v>
      </c>
      <c r="I27" s="4" t="s">
        <v>135</v>
      </c>
      <c r="J27" s="21" t="s">
        <v>207</v>
      </c>
      <c r="K27" s="21" t="s">
        <v>207</v>
      </c>
    </row>
    <row r="28" spans="1:11" ht="135" x14ac:dyDescent="0.25">
      <c r="A28" s="42" t="s">
        <v>74</v>
      </c>
      <c r="B28" s="2" t="s">
        <v>170</v>
      </c>
      <c r="C28" s="4" t="s">
        <v>66</v>
      </c>
      <c r="D28" s="28" t="s">
        <v>4</v>
      </c>
      <c r="E28" s="29">
        <v>1</v>
      </c>
      <c r="F28" s="29">
        <v>1</v>
      </c>
      <c r="G28" s="47" t="s">
        <v>138</v>
      </c>
      <c r="H28" s="47" t="s">
        <v>129</v>
      </c>
      <c r="I28" s="4" t="s">
        <v>131</v>
      </c>
      <c r="J28" s="21" t="s">
        <v>191</v>
      </c>
      <c r="K28" s="21" t="s">
        <v>191</v>
      </c>
    </row>
    <row r="29" spans="1:11" ht="75" x14ac:dyDescent="0.25">
      <c r="A29" s="42" t="s">
        <v>75</v>
      </c>
      <c r="B29" s="2" t="s">
        <v>171</v>
      </c>
      <c r="C29" s="4" t="s">
        <v>67</v>
      </c>
      <c r="D29" s="28" t="s">
        <v>4</v>
      </c>
      <c r="E29" s="29">
        <v>1</v>
      </c>
      <c r="F29" s="29">
        <v>1</v>
      </c>
      <c r="G29" s="47" t="s">
        <v>132</v>
      </c>
      <c r="H29" s="47" t="s">
        <v>129</v>
      </c>
      <c r="I29" s="4" t="s">
        <v>141</v>
      </c>
      <c r="J29" s="21" t="s">
        <v>210</v>
      </c>
      <c r="K29" s="2" t="s">
        <v>31</v>
      </c>
    </row>
    <row r="30" spans="1:11" ht="45" x14ac:dyDescent="0.25">
      <c r="A30" s="42" t="s">
        <v>76</v>
      </c>
      <c r="B30" s="2" t="s">
        <v>172</v>
      </c>
      <c r="C30" s="4" t="s">
        <v>32</v>
      </c>
      <c r="D30" s="28" t="s">
        <v>4</v>
      </c>
      <c r="E30" s="29">
        <v>1</v>
      </c>
      <c r="F30" s="29">
        <v>1</v>
      </c>
      <c r="G30" s="47" t="s">
        <v>134</v>
      </c>
      <c r="H30" s="47" t="s">
        <v>35</v>
      </c>
      <c r="I30" s="4" t="s">
        <v>135</v>
      </c>
      <c r="J30" s="21" t="s">
        <v>207</v>
      </c>
      <c r="K30" s="21" t="s">
        <v>207</v>
      </c>
    </row>
    <row r="31" spans="1:11" ht="135" x14ac:dyDescent="0.25">
      <c r="A31" s="42" t="s">
        <v>77</v>
      </c>
      <c r="B31" s="2" t="s">
        <v>173</v>
      </c>
      <c r="C31" s="4" t="s">
        <v>66</v>
      </c>
      <c r="D31" s="28" t="s">
        <v>4</v>
      </c>
      <c r="E31" s="29">
        <v>1</v>
      </c>
      <c r="F31" s="29">
        <v>1</v>
      </c>
      <c r="G31" s="47" t="s">
        <v>138</v>
      </c>
      <c r="H31" s="47" t="s">
        <v>129</v>
      </c>
      <c r="I31" s="4" t="s">
        <v>131</v>
      </c>
      <c r="J31" s="21" t="s">
        <v>191</v>
      </c>
      <c r="K31" s="21" t="s">
        <v>191</v>
      </c>
    </row>
    <row r="32" spans="1:11" ht="90" x14ac:dyDescent="0.25">
      <c r="A32" s="42" t="s">
        <v>78</v>
      </c>
      <c r="B32" s="2" t="s">
        <v>174</v>
      </c>
      <c r="C32" s="4" t="s">
        <v>67</v>
      </c>
      <c r="D32" s="28" t="s">
        <v>4</v>
      </c>
      <c r="E32" s="29">
        <v>1</v>
      </c>
      <c r="F32" s="29">
        <v>1</v>
      </c>
      <c r="G32" s="47" t="s">
        <v>132</v>
      </c>
      <c r="H32" s="47" t="s">
        <v>129</v>
      </c>
      <c r="I32" s="4" t="s">
        <v>227</v>
      </c>
      <c r="J32" s="21" t="s">
        <v>31</v>
      </c>
      <c r="K32" s="21" t="s">
        <v>31</v>
      </c>
    </row>
    <row r="33" spans="1:11" ht="45" x14ac:dyDescent="0.25">
      <c r="A33" s="42" t="s">
        <v>79</v>
      </c>
      <c r="B33" s="2" t="s">
        <v>175</v>
      </c>
      <c r="C33" s="4" t="s">
        <v>32</v>
      </c>
      <c r="D33" s="28" t="s">
        <v>4</v>
      </c>
      <c r="E33" s="29">
        <v>1</v>
      </c>
      <c r="F33" s="29">
        <v>1</v>
      </c>
      <c r="G33" s="47" t="s">
        <v>134</v>
      </c>
      <c r="H33" s="47" t="s">
        <v>35</v>
      </c>
      <c r="I33" s="4" t="s">
        <v>135</v>
      </c>
      <c r="J33" s="21" t="s">
        <v>207</v>
      </c>
      <c r="K33" s="21" t="s">
        <v>207</v>
      </c>
    </row>
    <row r="34" spans="1:11" ht="135" x14ac:dyDescent="0.25">
      <c r="A34" s="42" t="s">
        <v>80</v>
      </c>
      <c r="B34" s="2" t="s">
        <v>176</v>
      </c>
      <c r="C34" s="4" t="s">
        <v>66</v>
      </c>
      <c r="D34" s="28" t="s">
        <v>4</v>
      </c>
      <c r="E34" s="29">
        <v>1</v>
      </c>
      <c r="F34" s="29">
        <v>1</v>
      </c>
      <c r="G34" s="47" t="s">
        <v>138</v>
      </c>
      <c r="H34" s="47" t="s">
        <v>129</v>
      </c>
      <c r="I34" s="4" t="s">
        <v>131</v>
      </c>
      <c r="J34" s="21" t="s">
        <v>191</v>
      </c>
      <c r="K34" s="21" t="s">
        <v>191</v>
      </c>
    </row>
    <row r="35" spans="1:11" ht="75" x14ac:dyDescent="0.25">
      <c r="A35" s="42" t="s">
        <v>81</v>
      </c>
      <c r="B35" s="2" t="s">
        <v>177</v>
      </c>
      <c r="C35" s="4" t="s">
        <v>67</v>
      </c>
      <c r="D35" s="28" t="s">
        <v>4</v>
      </c>
      <c r="E35" s="29">
        <v>1</v>
      </c>
      <c r="F35" s="29">
        <v>1</v>
      </c>
      <c r="G35" s="47" t="s">
        <v>132</v>
      </c>
      <c r="H35" s="47" t="s">
        <v>129</v>
      </c>
      <c r="I35" s="4" t="s">
        <v>139</v>
      </c>
      <c r="J35" s="21" t="s">
        <v>212</v>
      </c>
      <c r="K35" s="2" t="s">
        <v>31</v>
      </c>
    </row>
    <row r="36" spans="1:11" ht="45" x14ac:dyDescent="0.25">
      <c r="A36" s="42" t="s">
        <v>82</v>
      </c>
      <c r="B36" s="2" t="s">
        <v>178</v>
      </c>
      <c r="C36" s="4" t="s">
        <v>32</v>
      </c>
      <c r="D36" s="28" t="s">
        <v>4</v>
      </c>
      <c r="E36" s="29">
        <v>1</v>
      </c>
      <c r="F36" s="29">
        <v>1</v>
      </c>
      <c r="G36" s="47" t="s">
        <v>134</v>
      </c>
      <c r="H36" s="47" t="s">
        <v>35</v>
      </c>
      <c r="I36" s="4" t="s">
        <v>135</v>
      </c>
      <c r="J36" s="21" t="s">
        <v>207</v>
      </c>
      <c r="K36" s="21" t="s">
        <v>207</v>
      </c>
    </row>
    <row r="37" spans="1:11" ht="135" x14ac:dyDescent="0.25">
      <c r="A37" s="42" t="s">
        <v>83</v>
      </c>
      <c r="B37" s="2" t="s">
        <v>179</v>
      </c>
      <c r="C37" s="4" t="s">
        <v>66</v>
      </c>
      <c r="D37" s="28" t="s">
        <v>4</v>
      </c>
      <c r="E37" s="29">
        <v>1</v>
      </c>
      <c r="F37" s="29">
        <v>1</v>
      </c>
      <c r="G37" s="47" t="s">
        <v>138</v>
      </c>
      <c r="H37" s="47" t="s">
        <v>129</v>
      </c>
      <c r="I37" s="4" t="s">
        <v>131</v>
      </c>
      <c r="J37" s="21" t="s">
        <v>191</v>
      </c>
      <c r="K37" s="21" t="s">
        <v>191</v>
      </c>
    </row>
    <row r="38" spans="1:11" ht="120" x14ac:dyDescent="0.25">
      <c r="A38" s="42" t="s">
        <v>84</v>
      </c>
      <c r="B38" s="2" t="s">
        <v>180</v>
      </c>
      <c r="C38" s="4" t="s">
        <v>67</v>
      </c>
      <c r="D38" s="28" t="s">
        <v>4</v>
      </c>
      <c r="E38" s="29">
        <v>1</v>
      </c>
      <c r="F38" s="29">
        <v>1</v>
      </c>
      <c r="G38" s="47" t="s">
        <v>132</v>
      </c>
      <c r="H38" s="47" t="s">
        <v>129</v>
      </c>
      <c r="I38" s="4" t="s">
        <v>142</v>
      </c>
      <c r="J38" s="21" t="s">
        <v>211</v>
      </c>
      <c r="K38" s="21" t="s">
        <v>224</v>
      </c>
    </row>
    <row r="39" spans="1:11" ht="45" x14ac:dyDescent="0.25">
      <c r="A39" s="42" t="s">
        <v>85</v>
      </c>
      <c r="B39" s="2" t="s">
        <v>181</v>
      </c>
      <c r="C39" s="4" t="s">
        <v>32</v>
      </c>
      <c r="D39" s="28" t="s">
        <v>4</v>
      </c>
      <c r="E39" s="29">
        <v>1</v>
      </c>
      <c r="F39" s="29">
        <v>1</v>
      </c>
      <c r="G39" s="47" t="s">
        <v>134</v>
      </c>
      <c r="H39" s="47" t="s">
        <v>35</v>
      </c>
      <c r="I39" s="4" t="s">
        <v>135</v>
      </c>
      <c r="J39" s="21" t="s">
        <v>207</v>
      </c>
      <c r="K39" s="21" t="s">
        <v>207</v>
      </c>
    </row>
  </sheetData>
  <autoFilter ref="A7:J39" xr:uid="{25F1E6B0-5103-4376-8B88-5EBBE6B0FE72}"/>
  <conditionalFormatting sqref="D14 D22">
    <cfRule type="cellIs" dxfId="275" priority="169" operator="equal">
      <formula>"Error"</formula>
    </cfRule>
    <cfRule type="cellIs" dxfId="274" priority="170" operator="equal">
      <formula>"Not Tested"</formula>
    </cfRule>
    <cfRule type="cellIs" dxfId="273" priority="171" operator="equal">
      <formula>"In Progress"</formula>
    </cfRule>
  </conditionalFormatting>
  <conditionalFormatting sqref="D8 D35">
    <cfRule type="cellIs" dxfId="272" priority="178" operator="equal">
      <formula>"In Progress"</formula>
    </cfRule>
    <cfRule type="cellIs" dxfId="271" priority="179" operator="equal">
      <formula>"Not Tested"</formula>
    </cfRule>
    <cfRule type="cellIs" dxfId="270" priority="180" operator="equal">
      <formula>"Tested"</formula>
    </cfRule>
  </conditionalFormatting>
  <conditionalFormatting sqref="D8 D35">
    <cfRule type="cellIs" dxfId="269" priority="175" operator="equal">
      <formula>"Error"</formula>
    </cfRule>
    <cfRule type="cellIs" dxfId="268" priority="176" operator="equal">
      <formula>"Not Tested"</formula>
    </cfRule>
    <cfRule type="cellIs" dxfId="267" priority="177" operator="equal">
      <formula>"In Progress"</formula>
    </cfRule>
  </conditionalFormatting>
  <conditionalFormatting sqref="D14 D22">
    <cfRule type="cellIs" dxfId="266" priority="172" operator="equal">
      <formula>"In Progress"</formula>
    </cfRule>
    <cfRule type="cellIs" dxfId="265" priority="173" operator="equal">
      <formula>"Not Tested"</formula>
    </cfRule>
    <cfRule type="cellIs" dxfId="264" priority="174" operator="equal">
      <formula>"Tested"</formula>
    </cfRule>
  </conditionalFormatting>
  <conditionalFormatting sqref="D9">
    <cfRule type="cellIs" dxfId="263" priority="166" operator="equal">
      <formula>"In Progress"</formula>
    </cfRule>
    <cfRule type="cellIs" dxfId="262" priority="167" operator="equal">
      <formula>"Not Tested"</formula>
    </cfRule>
    <cfRule type="cellIs" dxfId="261" priority="168" operator="equal">
      <formula>"Tested"</formula>
    </cfRule>
  </conditionalFormatting>
  <conditionalFormatting sqref="D9">
    <cfRule type="cellIs" dxfId="260" priority="163" operator="equal">
      <formula>"Error"</formula>
    </cfRule>
    <cfRule type="cellIs" dxfId="259" priority="164" operator="equal">
      <formula>"Not Tested"</formula>
    </cfRule>
    <cfRule type="cellIs" dxfId="258" priority="165" operator="equal">
      <formula>"In Progress"</formula>
    </cfRule>
  </conditionalFormatting>
  <conditionalFormatting sqref="D10">
    <cfRule type="cellIs" dxfId="257" priority="160" operator="equal">
      <formula>"In Progress"</formula>
    </cfRule>
    <cfRule type="cellIs" dxfId="256" priority="161" operator="equal">
      <formula>"Not Tested"</formula>
    </cfRule>
    <cfRule type="cellIs" dxfId="255" priority="162" operator="equal">
      <formula>"Tested"</formula>
    </cfRule>
  </conditionalFormatting>
  <conditionalFormatting sqref="D10">
    <cfRule type="cellIs" dxfId="254" priority="157" operator="equal">
      <formula>"Error"</formula>
    </cfRule>
    <cfRule type="cellIs" dxfId="253" priority="158" operator="equal">
      <formula>"Not Tested"</formula>
    </cfRule>
    <cfRule type="cellIs" dxfId="252" priority="159" operator="equal">
      <formula>"In Progress"</formula>
    </cfRule>
  </conditionalFormatting>
  <conditionalFormatting sqref="D11">
    <cfRule type="cellIs" dxfId="251" priority="154" operator="equal">
      <formula>"In Progress"</formula>
    </cfRule>
    <cfRule type="cellIs" dxfId="250" priority="155" operator="equal">
      <formula>"Not Tested"</formula>
    </cfRule>
    <cfRule type="cellIs" dxfId="249" priority="156" operator="equal">
      <formula>"Tested"</formula>
    </cfRule>
  </conditionalFormatting>
  <conditionalFormatting sqref="D11">
    <cfRule type="cellIs" dxfId="248" priority="151" operator="equal">
      <formula>"Error"</formula>
    </cfRule>
    <cfRule type="cellIs" dxfId="247" priority="152" operator="equal">
      <formula>"Not Tested"</formula>
    </cfRule>
    <cfRule type="cellIs" dxfId="246" priority="153" operator="equal">
      <formula>"In Progress"</formula>
    </cfRule>
  </conditionalFormatting>
  <conditionalFormatting sqref="D15">
    <cfRule type="cellIs" dxfId="245" priority="145" operator="equal">
      <formula>"Error"</formula>
    </cfRule>
    <cfRule type="cellIs" dxfId="244" priority="146" operator="equal">
      <formula>"Not Tested"</formula>
    </cfRule>
    <cfRule type="cellIs" dxfId="243" priority="147" operator="equal">
      <formula>"In Progress"</formula>
    </cfRule>
  </conditionalFormatting>
  <conditionalFormatting sqref="D15">
    <cfRule type="cellIs" dxfId="242" priority="148" operator="equal">
      <formula>"In Progress"</formula>
    </cfRule>
    <cfRule type="cellIs" dxfId="241" priority="149" operator="equal">
      <formula>"Not Tested"</formula>
    </cfRule>
    <cfRule type="cellIs" dxfId="240" priority="150" operator="equal">
      <formula>"Tested"</formula>
    </cfRule>
  </conditionalFormatting>
  <conditionalFormatting sqref="D12">
    <cfRule type="cellIs" dxfId="239" priority="142" operator="equal">
      <formula>"In Progress"</formula>
    </cfRule>
    <cfRule type="cellIs" dxfId="238" priority="143" operator="equal">
      <formula>"Not Tested"</formula>
    </cfRule>
    <cfRule type="cellIs" dxfId="237" priority="144" operator="equal">
      <formula>"Tested"</formula>
    </cfRule>
  </conditionalFormatting>
  <conditionalFormatting sqref="D12">
    <cfRule type="cellIs" dxfId="236" priority="139" operator="equal">
      <formula>"Error"</formula>
    </cfRule>
    <cfRule type="cellIs" dxfId="235" priority="140" operator="equal">
      <formula>"Not Tested"</formula>
    </cfRule>
    <cfRule type="cellIs" dxfId="234" priority="141" operator="equal">
      <formula>"In Progress"</formula>
    </cfRule>
  </conditionalFormatting>
  <conditionalFormatting sqref="D13">
    <cfRule type="cellIs" dxfId="233" priority="136" operator="equal">
      <formula>"In Progress"</formula>
    </cfRule>
    <cfRule type="cellIs" dxfId="232" priority="137" operator="equal">
      <formula>"Not Tested"</formula>
    </cfRule>
    <cfRule type="cellIs" dxfId="231" priority="138" operator="equal">
      <formula>"Tested"</formula>
    </cfRule>
  </conditionalFormatting>
  <conditionalFormatting sqref="D13">
    <cfRule type="cellIs" dxfId="230" priority="133" operator="equal">
      <formula>"Error"</formula>
    </cfRule>
    <cfRule type="cellIs" dxfId="229" priority="134" operator="equal">
      <formula>"Not Tested"</formula>
    </cfRule>
    <cfRule type="cellIs" dxfId="228" priority="135" operator="equal">
      <formula>"In Progress"</formula>
    </cfRule>
  </conditionalFormatting>
  <conditionalFormatting sqref="D16">
    <cfRule type="cellIs" dxfId="227" priority="127" operator="equal">
      <formula>"Error"</formula>
    </cfRule>
    <cfRule type="cellIs" dxfId="226" priority="128" operator="equal">
      <formula>"Not Tested"</formula>
    </cfRule>
    <cfRule type="cellIs" dxfId="225" priority="129" operator="equal">
      <formula>"In Progress"</formula>
    </cfRule>
  </conditionalFormatting>
  <conditionalFormatting sqref="D16">
    <cfRule type="cellIs" dxfId="224" priority="130" operator="equal">
      <formula>"In Progress"</formula>
    </cfRule>
    <cfRule type="cellIs" dxfId="223" priority="131" operator="equal">
      <formula>"Not Tested"</formula>
    </cfRule>
    <cfRule type="cellIs" dxfId="222" priority="132" operator="equal">
      <formula>"Tested"</formula>
    </cfRule>
  </conditionalFormatting>
  <conditionalFormatting sqref="D17">
    <cfRule type="cellIs" dxfId="221" priority="121" operator="equal">
      <formula>"Error"</formula>
    </cfRule>
    <cfRule type="cellIs" dxfId="220" priority="122" operator="equal">
      <formula>"Not Tested"</formula>
    </cfRule>
    <cfRule type="cellIs" dxfId="219" priority="123" operator="equal">
      <formula>"In Progress"</formula>
    </cfRule>
  </conditionalFormatting>
  <conditionalFormatting sqref="D17">
    <cfRule type="cellIs" dxfId="218" priority="124" operator="equal">
      <formula>"In Progress"</formula>
    </cfRule>
    <cfRule type="cellIs" dxfId="217" priority="125" operator="equal">
      <formula>"Not Tested"</formula>
    </cfRule>
    <cfRule type="cellIs" dxfId="216" priority="126" operator="equal">
      <formula>"Tested"</formula>
    </cfRule>
  </conditionalFormatting>
  <conditionalFormatting sqref="D18">
    <cfRule type="cellIs" dxfId="215" priority="115" operator="equal">
      <formula>"Error"</formula>
    </cfRule>
    <cfRule type="cellIs" dxfId="214" priority="116" operator="equal">
      <formula>"Not Tested"</formula>
    </cfRule>
    <cfRule type="cellIs" dxfId="213" priority="117" operator="equal">
      <formula>"In Progress"</formula>
    </cfRule>
  </conditionalFormatting>
  <conditionalFormatting sqref="D18">
    <cfRule type="cellIs" dxfId="212" priority="118" operator="equal">
      <formula>"In Progress"</formula>
    </cfRule>
    <cfRule type="cellIs" dxfId="211" priority="119" operator="equal">
      <formula>"Not Tested"</formula>
    </cfRule>
    <cfRule type="cellIs" dxfId="210" priority="120" operator="equal">
      <formula>"Tested"</formula>
    </cfRule>
  </conditionalFormatting>
  <conditionalFormatting sqref="D19">
    <cfRule type="cellIs" dxfId="209" priority="109" operator="equal">
      <formula>"Error"</formula>
    </cfRule>
    <cfRule type="cellIs" dxfId="208" priority="110" operator="equal">
      <formula>"Not Tested"</formula>
    </cfRule>
    <cfRule type="cellIs" dxfId="207" priority="111" operator="equal">
      <formula>"In Progress"</formula>
    </cfRule>
  </conditionalFormatting>
  <conditionalFormatting sqref="D19">
    <cfRule type="cellIs" dxfId="206" priority="112" operator="equal">
      <formula>"In Progress"</formula>
    </cfRule>
    <cfRule type="cellIs" dxfId="205" priority="113" operator="equal">
      <formula>"Not Tested"</formula>
    </cfRule>
    <cfRule type="cellIs" dxfId="204" priority="114" operator="equal">
      <formula>"Tested"</formula>
    </cfRule>
  </conditionalFormatting>
  <conditionalFormatting sqref="D20">
    <cfRule type="cellIs" dxfId="203" priority="103" operator="equal">
      <formula>"Error"</formula>
    </cfRule>
    <cfRule type="cellIs" dxfId="202" priority="104" operator="equal">
      <formula>"Not Tested"</formula>
    </cfRule>
    <cfRule type="cellIs" dxfId="201" priority="105" operator="equal">
      <formula>"In Progress"</formula>
    </cfRule>
  </conditionalFormatting>
  <conditionalFormatting sqref="D20">
    <cfRule type="cellIs" dxfId="200" priority="106" operator="equal">
      <formula>"In Progress"</formula>
    </cfRule>
    <cfRule type="cellIs" dxfId="199" priority="107" operator="equal">
      <formula>"Not Tested"</formula>
    </cfRule>
    <cfRule type="cellIs" dxfId="198" priority="108" operator="equal">
      <formula>"Tested"</formula>
    </cfRule>
  </conditionalFormatting>
  <conditionalFormatting sqref="D21">
    <cfRule type="cellIs" dxfId="197" priority="97" operator="equal">
      <formula>"Error"</formula>
    </cfRule>
    <cfRule type="cellIs" dxfId="196" priority="98" operator="equal">
      <formula>"Not Tested"</formula>
    </cfRule>
    <cfRule type="cellIs" dxfId="195" priority="99" operator="equal">
      <formula>"In Progress"</formula>
    </cfRule>
  </conditionalFormatting>
  <conditionalFormatting sqref="D21">
    <cfRule type="cellIs" dxfId="194" priority="100" operator="equal">
      <formula>"In Progress"</formula>
    </cfRule>
    <cfRule type="cellIs" dxfId="193" priority="101" operator="equal">
      <formula>"Not Tested"</formula>
    </cfRule>
    <cfRule type="cellIs" dxfId="192" priority="102" operator="equal">
      <formula>"Tested"</formula>
    </cfRule>
  </conditionalFormatting>
  <conditionalFormatting sqref="D25">
    <cfRule type="cellIs" dxfId="191" priority="91" operator="equal">
      <formula>"Error"</formula>
    </cfRule>
    <cfRule type="cellIs" dxfId="190" priority="92" operator="equal">
      <formula>"Not Tested"</formula>
    </cfRule>
    <cfRule type="cellIs" dxfId="189" priority="93" operator="equal">
      <formula>"In Progress"</formula>
    </cfRule>
  </conditionalFormatting>
  <conditionalFormatting sqref="D25">
    <cfRule type="cellIs" dxfId="188" priority="94" operator="equal">
      <formula>"In Progress"</formula>
    </cfRule>
    <cfRule type="cellIs" dxfId="187" priority="95" operator="equal">
      <formula>"Not Tested"</formula>
    </cfRule>
    <cfRule type="cellIs" dxfId="186" priority="96" operator="equal">
      <formula>"Tested"</formula>
    </cfRule>
  </conditionalFormatting>
  <conditionalFormatting sqref="D28">
    <cfRule type="cellIs" dxfId="185" priority="85" operator="equal">
      <formula>"Error"</formula>
    </cfRule>
    <cfRule type="cellIs" dxfId="184" priority="86" operator="equal">
      <formula>"Not Tested"</formula>
    </cfRule>
    <cfRule type="cellIs" dxfId="183" priority="87" operator="equal">
      <formula>"In Progress"</formula>
    </cfRule>
  </conditionalFormatting>
  <conditionalFormatting sqref="D28">
    <cfRule type="cellIs" dxfId="182" priority="88" operator="equal">
      <formula>"In Progress"</formula>
    </cfRule>
    <cfRule type="cellIs" dxfId="181" priority="89" operator="equal">
      <formula>"Not Tested"</formula>
    </cfRule>
    <cfRule type="cellIs" dxfId="180" priority="90" operator="equal">
      <formula>"Tested"</formula>
    </cfRule>
  </conditionalFormatting>
  <conditionalFormatting sqref="D31">
    <cfRule type="cellIs" dxfId="179" priority="79" operator="equal">
      <formula>"Error"</formula>
    </cfRule>
    <cfRule type="cellIs" dxfId="178" priority="80" operator="equal">
      <formula>"Not Tested"</formula>
    </cfRule>
    <cfRule type="cellIs" dxfId="177" priority="81" operator="equal">
      <formula>"In Progress"</formula>
    </cfRule>
  </conditionalFormatting>
  <conditionalFormatting sqref="D31">
    <cfRule type="cellIs" dxfId="176" priority="82" operator="equal">
      <formula>"In Progress"</formula>
    </cfRule>
    <cfRule type="cellIs" dxfId="175" priority="83" operator="equal">
      <formula>"Not Tested"</formula>
    </cfRule>
    <cfRule type="cellIs" dxfId="174" priority="84" operator="equal">
      <formula>"Tested"</formula>
    </cfRule>
  </conditionalFormatting>
  <conditionalFormatting sqref="D34">
    <cfRule type="cellIs" dxfId="173" priority="73" operator="equal">
      <formula>"Error"</formula>
    </cfRule>
    <cfRule type="cellIs" dxfId="172" priority="74" operator="equal">
      <formula>"Not Tested"</formula>
    </cfRule>
    <cfRule type="cellIs" dxfId="171" priority="75" operator="equal">
      <formula>"In Progress"</formula>
    </cfRule>
  </conditionalFormatting>
  <conditionalFormatting sqref="D34">
    <cfRule type="cellIs" dxfId="170" priority="76" operator="equal">
      <formula>"In Progress"</formula>
    </cfRule>
    <cfRule type="cellIs" dxfId="169" priority="77" operator="equal">
      <formula>"Not Tested"</formula>
    </cfRule>
    <cfRule type="cellIs" dxfId="168" priority="78" operator="equal">
      <formula>"Tested"</formula>
    </cfRule>
  </conditionalFormatting>
  <conditionalFormatting sqref="D37">
    <cfRule type="cellIs" dxfId="167" priority="67" operator="equal">
      <formula>"Error"</formula>
    </cfRule>
    <cfRule type="cellIs" dxfId="166" priority="68" operator="equal">
      <formula>"Not Tested"</formula>
    </cfRule>
    <cfRule type="cellIs" dxfId="165" priority="69" operator="equal">
      <formula>"In Progress"</formula>
    </cfRule>
  </conditionalFormatting>
  <conditionalFormatting sqref="D37">
    <cfRule type="cellIs" dxfId="164" priority="70" operator="equal">
      <formula>"In Progress"</formula>
    </cfRule>
    <cfRule type="cellIs" dxfId="163" priority="71" operator="equal">
      <formula>"Not Tested"</formula>
    </cfRule>
    <cfRule type="cellIs" dxfId="162" priority="72" operator="equal">
      <formula>"Tested"</formula>
    </cfRule>
  </conditionalFormatting>
  <conditionalFormatting sqref="D23">
    <cfRule type="cellIs" dxfId="161" priority="61" operator="equal">
      <formula>"Error"</formula>
    </cfRule>
    <cfRule type="cellIs" dxfId="160" priority="62" operator="equal">
      <formula>"Not Tested"</formula>
    </cfRule>
    <cfRule type="cellIs" dxfId="159" priority="63" operator="equal">
      <formula>"In Progress"</formula>
    </cfRule>
  </conditionalFormatting>
  <conditionalFormatting sqref="D23">
    <cfRule type="cellIs" dxfId="158" priority="64" operator="equal">
      <formula>"In Progress"</formula>
    </cfRule>
    <cfRule type="cellIs" dxfId="157" priority="65" operator="equal">
      <formula>"Not Tested"</formula>
    </cfRule>
    <cfRule type="cellIs" dxfId="156" priority="66" operator="equal">
      <formula>"Tested"</formula>
    </cfRule>
  </conditionalFormatting>
  <conditionalFormatting sqref="D24">
    <cfRule type="cellIs" dxfId="155" priority="55" operator="equal">
      <formula>"Error"</formula>
    </cfRule>
    <cfRule type="cellIs" dxfId="154" priority="56" operator="equal">
      <formula>"Not Tested"</formula>
    </cfRule>
    <cfRule type="cellIs" dxfId="153" priority="57" operator="equal">
      <formula>"In Progress"</formula>
    </cfRule>
  </conditionalFormatting>
  <conditionalFormatting sqref="D24">
    <cfRule type="cellIs" dxfId="152" priority="58" operator="equal">
      <formula>"In Progress"</formula>
    </cfRule>
    <cfRule type="cellIs" dxfId="151" priority="59" operator="equal">
      <formula>"Not Tested"</formula>
    </cfRule>
    <cfRule type="cellIs" dxfId="150" priority="60" operator="equal">
      <formula>"Tested"</formula>
    </cfRule>
  </conditionalFormatting>
  <conditionalFormatting sqref="D26">
    <cfRule type="cellIs" dxfId="149" priority="49" operator="equal">
      <formula>"Error"</formula>
    </cfRule>
    <cfRule type="cellIs" dxfId="148" priority="50" operator="equal">
      <formula>"Not Tested"</formula>
    </cfRule>
    <cfRule type="cellIs" dxfId="147" priority="51" operator="equal">
      <formula>"In Progress"</formula>
    </cfRule>
  </conditionalFormatting>
  <conditionalFormatting sqref="D26">
    <cfRule type="cellIs" dxfId="146" priority="52" operator="equal">
      <formula>"In Progress"</formula>
    </cfRule>
    <cfRule type="cellIs" dxfId="145" priority="53" operator="equal">
      <formula>"Not Tested"</formula>
    </cfRule>
    <cfRule type="cellIs" dxfId="144" priority="54" operator="equal">
      <formula>"Tested"</formula>
    </cfRule>
  </conditionalFormatting>
  <conditionalFormatting sqref="D27">
    <cfRule type="cellIs" dxfId="143" priority="43" operator="equal">
      <formula>"Error"</formula>
    </cfRule>
    <cfRule type="cellIs" dxfId="142" priority="44" operator="equal">
      <formula>"Not Tested"</formula>
    </cfRule>
    <cfRule type="cellIs" dxfId="141" priority="45" operator="equal">
      <formula>"In Progress"</formula>
    </cfRule>
  </conditionalFormatting>
  <conditionalFormatting sqref="D27">
    <cfRule type="cellIs" dxfId="140" priority="46" operator="equal">
      <formula>"In Progress"</formula>
    </cfRule>
    <cfRule type="cellIs" dxfId="139" priority="47" operator="equal">
      <formula>"Not Tested"</formula>
    </cfRule>
    <cfRule type="cellIs" dxfId="138" priority="48" operator="equal">
      <formula>"Tested"</formula>
    </cfRule>
  </conditionalFormatting>
  <conditionalFormatting sqref="D29">
    <cfRule type="cellIs" dxfId="137" priority="37" operator="equal">
      <formula>"Error"</formula>
    </cfRule>
    <cfRule type="cellIs" dxfId="136" priority="38" operator="equal">
      <formula>"Not Tested"</formula>
    </cfRule>
    <cfRule type="cellIs" dxfId="135" priority="39" operator="equal">
      <formula>"In Progress"</formula>
    </cfRule>
  </conditionalFormatting>
  <conditionalFormatting sqref="D29">
    <cfRule type="cellIs" dxfId="134" priority="40" operator="equal">
      <formula>"In Progress"</formula>
    </cfRule>
    <cfRule type="cellIs" dxfId="133" priority="41" operator="equal">
      <formula>"Not Tested"</formula>
    </cfRule>
    <cfRule type="cellIs" dxfId="132" priority="42" operator="equal">
      <formula>"Tested"</formula>
    </cfRule>
  </conditionalFormatting>
  <conditionalFormatting sqref="D30">
    <cfRule type="cellIs" dxfId="131" priority="31" operator="equal">
      <formula>"Error"</formula>
    </cfRule>
    <cfRule type="cellIs" dxfId="130" priority="32" operator="equal">
      <formula>"Not Tested"</formula>
    </cfRule>
    <cfRule type="cellIs" dxfId="129" priority="33" operator="equal">
      <formula>"In Progress"</formula>
    </cfRule>
  </conditionalFormatting>
  <conditionalFormatting sqref="D30">
    <cfRule type="cellIs" dxfId="128" priority="34" operator="equal">
      <formula>"In Progress"</formula>
    </cfRule>
    <cfRule type="cellIs" dxfId="127" priority="35" operator="equal">
      <formula>"Not Tested"</formula>
    </cfRule>
    <cfRule type="cellIs" dxfId="126" priority="36" operator="equal">
      <formula>"Tested"</formula>
    </cfRule>
  </conditionalFormatting>
  <conditionalFormatting sqref="D33">
    <cfRule type="cellIs" dxfId="125" priority="25" operator="equal">
      <formula>"Error"</formula>
    </cfRule>
    <cfRule type="cellIs" dxfId="124" priority="26" operator="equal">
      <formula>"Not Tested"</formula>
    </cfRule>
    <cfRule type="cellIs" dxfId="123" priority="27" operator="equal">
      <formula>"In Progress"</formula>
    </cfRule>
  </conditionalFormatting>
  <conditionalFormatting sqref="D33">
    <cfRule type="cellIs" dxfId="122" priority="28" operator="equal">
      <formula>"In Progress"</formula>
    </cfRule>
    <cfRule type="cellIs" dxfId="121" priority="29" operator="equal">
      <formula>"Not Tested"</formula>
    </cfRule>
    <cfRule type="cellIs" dxfId="120" priority="30" operator="equal">
      <formula>"Tested"</formula>
    </cfRule>
  </conditionalFormatting>
  <conditionalFormatting sqref="D36">
    <cfRule type="cellIs" dxfId="119" priority="19" operator="equal">
      <formula>"Error"</formula>
    </cfRule>
    <cfRule type="cellIs" dxfId="118" priority="20" operator="equal">
      <formula>"Not Tested"</formula>
    </cfRule>
    <cfRule type="cellIs" dxfId="117" priority="21" operator="equal">
      <formula>"In Progress"</formula>
    </cfRule>
  </conditionalFormatting>
  <conditionalFormatting sqref="D36">
    <cfRule type="cellIs" dxfId="116" priority="22" operator="equal">
      <formula>"In Progress"</formula>
    </cfRule>
    <cfRule type="cellIs" dxfId="115" priority="23" operator="equal">
      <formula>"Not Tested"</formula>
    </cfRule>
    <cfRule type="cellIs" dxfId="114" priority="24" operator="equal">
      <formula>"Tested"</formula>
    </cfRule>
  </conditionalFormatting>
  <conditionalFormatting sqref="D39">
    <cfRule type="cellIs" dxfId="113" priority="13" operator="equal">
      <formula>"Error"</formula>
    </cfRule>
    <cfRule type="cellIs" dxfId="112" priority="14" operator="equal">
      <formula>"Not Tested"</formula>
    </cfRule>
    <cfRule type="cellIs" dxfId="111" priority="15" operator="equal">
      <formula>"In Progress"</formula>
    </cfRule>
  </conditionalFormatting>
  <conditionalFormatting sqref="D39">
    <cfRule type="cellIs" dxfId="110" priority="16" operator="equal">
      <formula>"In Progress"</formula>
    </cfRule>
    <cfRule type="cellIs" dxfId="109" priority="17" operator="equal">
      <formula>"Not Tested"</formula>
    </cfRule>
    <cfRule type="cellIs" dxfId="108" priority="18" operator="equal">
      <formula>"Tested"</formula>
    </cfRule>
  </conditionalFormatting>
  <conditionalFormatting sqref="D38">
    <cfRule type="cellIs" dxfId="107" priority="7" operator="equal">
      <formula>"Error"</formula>
    </cfRule>
    <cfRule type="cellIs" dxfId="106" priority="8" operator="equal">
      <formula>"Not Tested"</formula>
    </cfRule>
    <cfRule type="cellIs" dxfId="105" priority="9" operator="equal">
      <formula>"In Progress"</formula>
    </cfRule>
  </conditionalFormatting>
  <conditionalFormatting sqref="D38">
    <cfRule type="cellIs" dxfId="104" priority="10" operator="equal">
      <formula>"In Progress"</formula>
    </cfRule>
    <cfRule type="cellIs" dxfId="103" priority="11" operator="equal">
      <formula>"Not Tested"</formula>
    </cfRule>
    <cfRule type="cellIs" dxfId="102" priority="12" operator="equal">
      <formula>"Tested"</formula>
    </cfRule>
  </conditionalFormatting>
  <conditionalFormatting sqref="D32">
    <cfRule type="cellIs" dxfId="23" priority="1" operator="equal">
      <formula>"Error"</formula>
    </cfRule>
    <cfRule type="cellIs" dxfId="22" priority="2" operator="equal">
      <formula>"Not Tested"</formula>
    </cfRule>
    <cfRule type="cellIs" dxfId="21" priority="3" operator="equal">
      <formula>"In Progress"</formula>
    </cfRule>
  </conditionalFormatting>
  <conditionalFormatting sqref="D32">
    <cfRule type="cellIs" dxfId="20" priority="4" operator="equal">
      <formula>"In Progress"</formula>
    </cfRule>
    <cfRule type="cellIs" dxfId="19" priority="5" operator="equal">
      <formula>"Not Tested"</formula>
    </cfRule>
    <cfRule type="cellIs" dxfId="18" priority="6" operator="equal">
      <formula>"Tested"</formula>
    </cfRule>
  </conditionalFormatting>
  <dataValidations count="1">
    <dataValidation type="list" allowBlank="1" showInputMessage="1" showErrorMessage="1" sqref="D8:D39" xr:uid="{92D98713-041D-41C2-ABDD-80F10917560E}">
      <formula1>$D$2:$D$5</formula1>
    </dataValidation>
  </dataValidations>
  <pageMargins left="0.25" right="0.25" top="0.75" bottom="0.75" header="0.3" footer="0.3"/>
  <pageSetup paperSize="9" scale="5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B310-CB2B-4F12-A9D6-50527633274C}">
  <sheetPr>
    <tabColor rgb="FFFFC000"/>
    <pageSetUpPr fitToPage="1"/>
  </sheetPr>
  <dimension ref="A1:I82"/>
  <sheetViews>
    <sheetView zoomScaleNormal="100" workbookViewId="0">
      <pane ySplit="7" topLeftCell="A32" activePane="bottomLeft" state="frozen"/>
      <selection activeCell="I6" sqref="I6"/>
      <selection pane="bottomLeft" activeCell="H32" sqref="H32"/>
    </sheetView>
  </sheetViews>
  <sheetFormatPr defaultRowHeight="15" x14ac:dyDescent="0.25"/>
  <cols>
    <col min="1" max="1" width="13.5703125" style="1" customWidth="1"/>
    <col min="2" max="2" width="9" style="1" customWidth="1"/>
    <col min="3" max="3" width="21.140625" style="1" bestFit="1" customWidth="1"/>
    <col min="4" max="4" width="11" style="1" bestFit="1" customWidth="1"/>
    <col min="5" max="5" width="11.85546875" style="1" bestFit="1" customWidth="1"/>
    <col min="6" max="6" width="16.42578125" style="1" bestFit="1" customWidth="1"/>
    <col min="7" max="9" width="27.7109375" style="1" customWidth="1"/>
    <col min="10" max="16384" width="9.140625" style="1"/>
  </cols>
  <sheetData>
    <row r="1" spans="1:9" s="9" customFormat="1" ht="18.75" x14ac:dyDescent="0.25">
      <c r="A1" s="5" t="s">
        <v>215</v>
      </c>
    </row>
    <row r="2" spans="1:9" x14ac:dyDescent="0.25">
      <c r="A2" s="10" t="s">
        <v>6</v>
      </c>
      <c r="B2" s="1">
        <f>SUM(E8:E93)</f>
        <v>32</v>
      </c>
      <c r="D2" s="11" t="s">
        <v>4</v>
      </c>
    </row>
    <row r="3" spans="1:9" x14ac:dyDescent="0.25">
      <c r="A3" s="10" t="s">
        <v>7</v>
      </c>
      <c r="B3" s="1">
        <f>SUM(F8:F93)</f>
        <v>32</v>
      </c>
      <c r="D3" s="13" t="s">
        <v>8</v>
      </c>
    </row>
    <row r="4" spans="1:9" x14ac:dyDescent="0.25">
      <c r="A4" s="10" t="s">
        <v>9</v>
      </c>
      <c r="B4" s="14">
        <f>B3/B2</f>
        <v>1</v>
      </c>
      <c r="D4" s="15" t="s">
        <v>10</v>
      </c>
    </row>
    <row r="5" spans="1:9" x14ac:dyDescent="0.25">
      <c r="A5" s="10"/>
      <c r="B5" s="14"/>
      <c r="D5" s="16" t="s">
        <v>11</v>
      </c>
    </row>
    <row r="7" spans="1:9" s="20" customFormat="1" ht="30" x14ac:dyDescent="0.25">
      <c r="A7" s="27" t="s">
        <v>18</v>
      </c>
      <c r="B7" s="17" t="s">
        <v>12</v>
      </c>
      <c r="C7" s="18" t="s">
        <v>13</v>
      </c>
      <c r="D7" s="18" t="s">
        <v>14</v>
      </c>
      <c r="E7" s="19" t="s">
        <v>15</v>
      </c>
      <c r="F7" s="19" t="s">
        <v>16</v>
      </c>
      <c r="G7" s="19" t="s">
        <v>25</v>
      </c>
      <c r="H7" s="18" t="s">
        <v>27</v>
      </c>
      <c r="I7" s="18" t="s">
        <v>28</v>
      </c>
    </row>
    <row r="8" spans="1:9" ht="135" x14ac:dyDescent="0.25">
      <c r="A8" s="42" t="s">
        <v>33</v>
      </c>
      <c r="B8" s="2" t="s">
        <v>145</v>
      </c>
      <c r="C8" s="4" t="s">
        <v>62</v>
      </c>
      <c r="D8" s="28" t="s">
        <v>4</v>
      </c>
      <c r="E8" s="29">
        <v>1</v>
      </c>
      <c r="F8" s="29">
        <v>1</v>
      </c>
      <c r="G8" s="54" t="s">
        <v>48</v>
      </c>
      <c r="H8" s="4" t="s">
        <v>91</v>
      </c>
      <c r="I8" s="21" t="s">
        <v>31</v>
      </c>
    </row>
    <row r="9" spans="1:9" ht="45" x14ac:dyDescent="0.25">
      <c r="A9" s="42" t="s">
        <v>36</v>
      </c>
      <c r="B9" s="2" t="s">
        <v>147</v>
      </c>
      <c r="C9" s="4" t="s">
        <v>59</v>
      </c>
      <c r="D9" s="28" t="s">
        <v>4</v>
      </c>
      <c r="E9" s="29">
        <v>1</v>
      </c>
      <c r="F9" s="29">
        <v>1</v>
      </c>
      <c r="G9" s="47" t="s">
        <v>49</v>
      </c>
      <c r="H9" s="4" t="s">
        <v>54</v>
      </c>
      <c r="I9" s="21" t="s">
        <v>31</v>
      </c>
    </row>
    <row r="10" spans="1:9" ht="75" x14ac:dyDescent="0.25">
      <c r="A10" s="42" t="s">
        <v>37</v>
      </c>
      <c r="B10" s="2" t="s">
        <v>149</v>
      </c>
      <c r="C10" s="4" t="s">
        <v>59</v>
      </c>
      <c r="D10" s="28" t="s">
        <v>4</v>
      </c>
      <c r="E10" s="29">
        <v>1</v>
      </c>
      <c r="F10" s="29">
        <v>1</v>
      </c>
      <c r="G10" s="47" t="s">
        <v>90</v>
      </c>
      <c r="H10" s="4" t="s">
        <v>87</v>
      </c>
      <c r="I10" s="21" t="s">
        <v>31</v>
      </c>
    </row>
    <row r="11" spans="1:9" ht="90" x14ac:dyDescent="0.25">
      <c r="A11" s="42" t="s">
        <v>38</v>
      </c>
      <c r="B11" s="2" t="s">
        <v>151</v>
      </c>
      <c r="C11" s="4" t="s">
        <v>59</v>
      </c>
      <c r="D11" s="28" t="s">
        <v>4</v>
      </c>
      <c r="E11" s="29">
        <v>1</v>
      </c>
      <c r="F11" s="29">
        <v>1</v>
      </c>
      <c r="G11" s="47" t="s">
        <v>93</v>
      </c>
      <c r="H11" s="4" t="s">
        <v>95</v>
      </c>
      <c r="I11" s="21" t="s">
        <v>31</v>
      </c>
    </row>
    <row r="12" spans="1:9" ht="60" x14ac:dyDescent="0.25">
      <c r="A12" s="42" t="s">
        <v>40</v>
      </c>
      <c r="B12" s="2" t="s">
        <v>153</v>
      </c>
      <c r="C12" s="4" t="s">
        <v>59</v>
      </c>
      <c r="D12" s="28" t="s">
        <v>4</v>
      </c>
      <c r="E12" s="29">
        <v>1</v>
      </c>
      <c r="F12" s="29">
        <v>1</v>
      </c>
      <c r="G12" s="47" t="s">
        <v>97</v>
      </c>
      <c r="H12" s="4" t="s">
        <v>96</v>
      </c>
      <c r="I12" s="21" t="s">
        <v>31</v>
      </c>
    </row>
    <row r="13" spans="1:9" ht="60" x14ac:dyDescent="0.25">
      <c r="A13" s="42" t="s">
        <v>39</v>
      </c>
      <c r="B13" s="2" t="s">
        <v>155</v>
      </c>
      <c r="C13" s="4" t="s">
        <v>59</v>
      </c>
      <c r="D13" s="28" t="s">
        <v>4</v>
      </c>
      <c r="E13" s="29">
        <v>1</v>
      </c>
      <c r="F13" s="29">
        <v>1</v>
      </c>
      <c r="G13" s="47" t="s">
        <v>106</v>
      </c>
      <c r="H13" s="4" t="s">
        <v>108</v>
      </c>
      <c r="I13" s="2" t="s">
        <v>31</v>
      </c>
    </row>
    <row r="14" spans="1:9" ht="75" x14ac:dyDescent="0.25">
      <c r="A14" s="42" t="s">
        <v>61</v>
      </c>
      <c r="B14" s="2" t="s">
        <v>156</v>
      </c>
      <c r="C14" s="4" t="s">
        <v>59</v>
      </c>
      <c r="D14" s="28" t="s">
        <v>4</v>
      </c>
      <c r="E14" s="29">
        <v>1</v>
      </c>
      <c r="F14" s="29">
        <v>1</v>
      </c>
      <c r="G14" s="47" t="s">
        <v>101</v>
      </c>
      <c r="H14" s="4" t="s">
        <v>103</v>
      </c>
      <c r="I14" s="21" t="s">
        <v>31</v>
      </c>
    </row>
    <row r="15" spans="1:9" ht="60" x14ac:dyDescent="0.25">
      <c r="A15" s="42" t="s">
        <v>41</v>
      </c>
      <c r="B15" s="2" t="s">
        <v>157</v>
      </c>
      <c r="C15" s="4" t="s">
        <v>59</v>
      </c>
      <c r="D15" s="28" t="s">
        <v>4</v>
      </c>
      <c r="E15" s="29">
        <v>1</v>
      </c>
      <c r="F15" s="29">
        <v>1</v>
      </c>
      <c r="G15" s="47" t="s">
        <v>110</v>
      </c>
      <c r="H15" s="4" t="s">
        <v>112</v>
      </c>
      <c r="I15" s="21" t="s">
        <v>31</v>
      </c>
    </row>
    <row r="16" spans="1:9" ht="60" x14ac:dyDescent="0.25">
      <c r="A16" s="42" t="s">
        <v>42</v>
      </c>
      <c r="B16" s="2" t="s">
        <v>158</v>
      </c>
      <c r="C16" s="4" t="s">
        <v>59</v>
      </c>
      <c r="D16" s="28" t="s">
        <v>4</v>
      </c>
      <c r="E16" s="29">
        <v>1</v>
      </c>
      <c r="F16" s="29">
        <v>1</v>
      </c>
      <c r="G16" s="47" t="s">
        <v>113</v>
      </c>
      <c r="H16" s="4" t="s">
        <v>114</v>
      </c>
      <c r="I16" s="21" t="s">
        <v>219</v>
      </c>
    </row>
    <row r="17" spans="1:9" ht="60" x14ac:dyDescent="0.25">
      <c r="A17" s="42" t="s">
        <v>44</v>
      </c>
      <c r="B17" s="2" t="s">
        <v>159</v>
      </c>
      <c r="C17" s="4" t="s">
        <v>59</v>
      </c>
      <c r="D17" s="28" t="s">
        <v>4</v>
      </c>
      <c r="E17" s="29">
        <v>1</v>
      </c>
      <c r="F17" s="29">
        <v>1</v>
      </c>
      <c r="G17" s="47" t="s">
        <v>115</v>
      </c>
      <c r="H17" s="4" t="s">
        <v>116</v>
      </c>
      <c r="I17" s="21" t="s">
        <v>31</v>
      </c>
    </row>
    <row r="18" spans="1:9" ht="60" x14ac:dyDescent="0.25">
      <c r="A18" s="42" t="s">
        <v>43</v>
      </c>
      <c r="B18" s="2" t="s">
        <v>160</v>
      </c>
      <c r="C18" s="4" t="s">
        <v>59</v>
      </c>
      <c r="D18" s="28" t="s">
        <v>4</v>
      </c>
      <c r="E18" s="29">
        <v>1</v>
      </c>
      <c r="F18" s="29">
        <v>1</v>
      </c>
      <c r="G18" s="47" t="s">
        <v>106</v>
      </c>
      <c r="H18" s="4" t="s">
        <v>117</v>
      </c>
      <c r="I18" s="2" t="s">
        <v>31</v>
      </c>
    </row>
    <row r="19" spans="1:9" ht="45" x14ac:dyDescent="0.25">
      <c r="A19" s="42" t="s">
        <v>60</v>
      </c>
      <c r="B19" s="2" t="s">
        <v>161</v>
      </c>
      <c r="C19" s="4" t="s">
        <v>59</v>
      </c>
      <c r="D19" s="28" t="s">
        <v>4</v>
      </c>
      <c r="E19" s="29">
        <v>1</v>
      </c>
      <c r="F19" s="29">
        <v>1</v>
      </c>
      <c r="G19" s="47" t="s">
        <v>119</v>
      </c>
      <c r="H19" s="4" t="s">
        <v>121</v>
      </c>
      <c r="I19" s="21" t="s">
        <v>31</v>
      </c>
    </row>
    <row r="20" spans="1:9" ht="90" x14ac:dyDescent="0.25">
      <c r="A20" s="42" t="s">
        <v>57</v>
      </c>
      <c r="B20" s="2" t="s">
        <v>162</v>
      </c>
      <c r="C20" s="4" t="s">
        <v>59</v>
      </c>
      <c r="D20" s="28" t="s">
        <v>4</v>
      </c>
      <c r="E20" s="29">
        <v>1</v>
      </c>
      <c r="F20" s="29">
        <v>1</v>
      </c>
      <c r="G20" s="47" t="s">
        <v>123</v>
      </c>
      <c r="H20" s="4" t="s">
        <v>125</v>
      </c>
      <c r="I20" s="21" t="s">
        <v>31</v>
      </c>
    </row>
    <row r="21" spans="1:9" ht="45" x14ac:dyDescent="0.25">
      <c r="A21" s="42" t="s">
        <v>56</v>
      </c>
      <c r="B21" s="2" t="s">
        <v>163</v>
      </c>
      <c r="C21" s="4" t="s">
        <v>59</v>
      </c>
      <c r="D21" s="28" t="s">
        <v>4</v>
      </c>
      <c r="E21" s="29">
        <v>1</v>
      </c>
      <c r="F21" s="29">
        <v>1</v>
      </c>
      <c r="G21" s="47" t="s">
        <v>106</v>
      </c>
      <c r="H21" s="4" t="s">
        <v>127</v>
      </c>
      <c r="I21" s="21" t="s">
        <v>31</v>
      </c>
    </row>
    <row r="22" spans="1:9" ht="135" x14ac:dyDescent="0.25">
      <c r="A22" s="42" t="s">
        <v>68</v>
      </c>
      <c r="B22" s="2" t="s">
        <v>164</v>
      </c>
      <c r="C22" s="4" t="s">
        <v>66</v>
      </c>
      <c r="D22" s="28" t="s">
        <v>4</v>
      </c>
      <c r="E22" s="29">
        <v>1</v>
      </c>
      <c r="F22" s="29">
        <v>1</v>
      </c>
      <c r="G22" s="47" t="s">
        <v>128</v>
      </c>
      <c r="H22" s="4" t="s">
        <v>130</v>
      </c>
      <c r="I22" s="4" t="s">
        <v>31</v>
      </c>
    </row>
    <row r="23" spans="1:9" ht="120" x14ac:dyDescent="0.25">
      <c r="A23" s="42" t="s">
        <v>69</v>
      </c>
      <c r="B23" s="2" t="s">
        <v>165</v>
      </c>
      <c r="C23" s="4" t="s">
        <v>67</v>
      </c>
      <c r="D23" s="28" t="s">
        <v>4</v>
      </c>
      <c r="E23" s="29">
        <v>1</v>
      </c>
      <c r="F23" s="29">
        <v>1</v>
      </c>
      <c r="G23" s="47" t="s">
        <v>132</v>
      </c>
      <c r="H23" s="4" t="s">
        <v>137</v>
      </c>
      <c r="I23" s="21" t="s">
        <v>31</v>
      </c>
    </row>
    <row r="24" spans="1:9" ht="105" x14ac:dyDescent="0.25">
      <c r="A24" s="42" t="s">
        <v>70</v>
      </c>
      <c r="B24" s="2" t="s">
        <v>166</v>
      </c>
      <c r="C24" s="4" t="s">
        <v>32</v>
      </c>
      <c r="D24" s="28" t="s">
        <v>4</v>
      </c>
      <c r="E24" s="29">
        <v>1</v>
      </c>
      <c r="F24" s="29">
        <v>1</v>
      </c>
      <c r="G24" s="47" t="s">
        <v>136</v>
      </c>
      <c r="H24" s="4" t="s">
        <v>133</v>
      </c>
      <c r="I24" s="21" t="s">
        <v>31</v>
      </c>
    </row>
    <row r="25" spans="1:9" ht="135" x14ac:dyDescent="0.25">
      <c r="A25" s="42" t="s">
        <v>71</v>
      </c>
      <c r="B25" s="2" t="s">
        <v>167</v>
      </c>
      <c r="C25" s="4" t="s">
        <v>66</v>
      </c>
      <c r="D25" s="28" t="s">
        <v>4</v>
      </c>
      <c r="E25" s="29">
        <v>1</v>
      </c>
      <c r="F25" s="29">
        <v>1</v>
      </c>
      <c r="G25" s="47" t="s">
        <v>138</v>
      </c>
      <c r="H25" s="4" t="s">
        <v>131</v>
      </c>
      <c r="I25" s="21" t="s">
        <v>31</v>
      </c>
    </row>
    <row r="26" spans="1:9" ht="120" x14ac:dyDescent="0.25">
      <c r="A26" s="42" t="s">
        <v>72</v>
      </c>
      <c r="B26" s="2" t="s">
        <v>168</v>
      </c>
      <c r="C26" s="4" t="s">
        <v>67</v>
      </c>
      <c r="D26" s="28" t="s">
        <v>4</v>
      </c>
      <c r="E26" s="29">
        <v>1</v>
      </c>
      <c r="F26" s="29">
        <v>1</v>
      </c>
      <c r="G26" s="47" t="s">
        <v>132</v>
      </c>
      <c r="H26" s="4" t="s">
        <v>140</v>
      </c>
      <c r="I26" s="21" t="s">
        <v>31</v>
      </c>
    </row>
    <row r="27" spans="1:9" ht="60" x14ac:dyDescent="0.25">
      <c r="A27" s="42" t="s">
        <v>73</v>
      </c>
      <c r="B27" s="2" t="s">
        <v>169</v>
      </c>
      <c r="C27" s="4" t="s">
        <v>32</v>
      </c>
      <c r="D27" s="28" t="s">
        <v>4</v>
      </c>
      <c r="E27" s="29">
        <v>1</v>
      </c>
      <c r="F27" s="29">
        <v>1</v>
      </c>
      <c r="G27" s="47" t="s">
        <v>134</v>
      </c>
      <c r="H27" s="4" t="s">
        <v>135</v>
      </c>
      <c r="I27" s="21" t="s">
        <v>31</v>
      </c>
    </row>
    <row r="28" spans="1:9" ht="135" x14ac:dyDescent="0.25">
      <c r="A28" s="42" t="s">
        <v>74</v>
      </c>
      <c r="B28" s="2" t="s">
        <v>170</v>
      </c>
      <c r="C28" s="4" t="s">
        <v>66</v>
      </c>
      <c r="D28" s="28" t="s">
        <v>4</v>
      </c>
      <c r="E28" s="29">
        <v>1</v>
      </c>
      <c r="F28" s="29">
        <v>1</v>
      </c>
      <c r="G28" s="47" t="s">
        <v>138</v>
      </c>
      <c r="H28" s="4" t="s">
        <v>131</v>
      </c>
      <c r="I28" s="21" t="s">
        <v>31</v>
      </c>
    </row>
    <row r="29" spans="1:9" ht="75" x14ac:dyDescent="0.25">
      <c r="A29" s="42" t="s">
        <v>75</v>
      </c>
      <c r="B29" s="2" t="s">
        <v>171</v>
      </c>
      <c r="C29" s="4" t="s">
        <v>67</v>
      </c>
      <c r="D29" s="28" t="s">
        <v>4</v>
      </c>
      <c r="E29" s="29">
        <v>1</v>
      </c>
      <c r="F29" s="29">
        <v>1</v>
      </c>
      <c r="G29" s="47" t="s">
        <v>132</v>
      </c>
      <c r="H29" s="4" t="s">
        <v>141</v>
      </c>
      <c r="I29" s="21" t="s">
        <v>31</v>
      </c>
    </row>
    <row r="30" spans="1:9" ht="60" x14ac:dyDescent="0.25">
      <c r="A30" s="42" t="s">
        <v>76</v>
      </c>
      <c r="B30" s="2" t="s">
        <v>172</v>
      </c>
      <c r="C30" s="4" t="s">
        <v>32</v>
      </c>
      <c r="D30" s="28" t="s">
        <v>4</v>
      </c>
      <c r="E30" s="29">
        <v>1</v>
      </c>
      <c r="F30" s="29">
        <v>1</v>
      </c>
      <c r="G30" s="47" t="s">
        <v>134</v>
      </c>
      <c r="H30" s="4" t="s">
        <v>135</v>
      </c>
      <c r="I30" s="21" t="s">
        <v>31</v>
      </c>
    </row>
    <row r="31" spans="1:9" ht="135" x14ac:dyDescent="0.25">
      <c r="A31" s="42" t="s">
        <v>77</v>
      </c>
      <c r="B31" s="2" t="s">
        <v>173</v>
      </c>
      <c r="C31" s="4" t="s">
        <v>66</v>
      </c>
      <c r="D31" s="28" t="s">
        <v>4</v>
      </c>
      <c r="E31" s="29">
        <v>1</v>
      </c>
      <c r="F31" s="29">
        <v>1</v>
      </c>
      <c r="G31" s="47" t="s">
        <v>138</v>
      </c>
      <c r="H31" s="4" t="s">
        <v>131</v>
      </c>
      <c r="I31" s="21" t="s">
        <v>31</v>
      </c>
    </row>
    <row r="32" spans="1:9" ht="90" x14ac:dyDescent="0.25">
      <c r="A32" s="42" t="s">
        <v>78</v>
      </c>
      <c r="B32" s="2" t="s">
        <v>174</v>
      </c>
      <c r="C32" s="4" t="s">
        <v>67</v>
      </c>
      <c r="D32" s="28" t="s">
        <v>4</v>
      </c>
      <c r="E32" s="29">
        <v>1</v>
      </c>
      <c r="F32" s="29">
        <v>1</v>
      </c>
      <c r="G32" s="47" t="s">
        <v>132</v>
      </c>
      <c r="H32" s="4" t="s">
        <v>227</v>
      </c>
      <c r="I32" s="21" t="s">
        <v>31</v>
      </c>
    </row>
    <row r="33" spans="1:9" ht="60" x14ac:dyDescent="0.25">
      <c r="A33" s="42" t="s">
        <v>79</v>
      </c>
      <c r="B33" s="2" t="s">
        <v>175</v>
      </c>
      <c r="C33" s="4" t="s">
        <v>32</v>
      </c>
      <c r="D33" s="28" t="s">
        <v>4</v>
      </c>
      <c r="E33" s="29">
        <v>1</v>
      </c>
      <c r="F33" s="29">
        <v>1</v>
      </c>
      <c r="G33" s="47" t="s">
        <v>134</v>
      </c>
      <c r="H33" s="4" t="s">
        <v>135</v>
      </c>
      <c r="I33" s="21" t="s">
        <v>31</v>
      </c>
    </row>
    <row r="34" spans="1:9" ht="135" x14ac:dyDescent="0.25">
      <c r="A34" s="42" t="s">
        <v>80</v>
      </c>
      <c r="B34" s="2" t="s">
        <v>176</v>
      </c>
      <c r="C34" s="4" t="s">
        <v>66</v>
      </c>
      <c r="D34" s="28" t="s">
        <v>4</v>
      </c>
      <c r="E34" s="29">
        <v>1</v>
      </c>
      <c r="F34" s="29">
        <v>1</v>
      </c>
      <c r="G34" s="47" t="s">
        <v>138</v>
      </c>
      <c r="H34" s="4" t="s">
        <v>131</v>
      </c>
      <c r="I34" s="21" t="s">
        <v>31</v>
      </c>
    </row>
    <row r="35" spans="1:9" ht="75" x14ac:dyDescent="0.25">
      <c r="A35" s="42" t="s">
        <v>81</v>
      </c>
      <c r="B35" s="2" t="s">
        <v>177</v>
      </c>
      <c r="C35" s="4" t="s">
        <v>67</v>
      </c>
      <c r="D35" s="28" t="s">
        <v>4</v>
      </c>
      <c r="E35" s="29">
        <v>1</v>
      </c>
      <c r="F35" s="29">
        <v>1</v>
      </c>
      <c r="G35" s="47" t="s">
        <v>132</v>
      </c>
      <c r="H35" s="4" t="s">
        <v>139</v>
      </c>
      <c r="I35" s="21" t="s">
        <v>31</v>
      </c>
    </row>
    <row r="36" spans="1:9" ht="60" x14ac:dyDescent="0.25">
      <c r="A36" s="42" t="s">
        <v>82</v>
      </c>
      <c r="B36" s="2" t="s">
        <v>178</v>
      </c>
      <c r="C36" s="4" t="s">
        <v>32</v>
      </c>
      <c r="D36" s="28" t="s">
        <v>4</v>
      </c>
      <c r="E36" s="29">
        <v>1</v>
      </c>
      <c r="F36" s="29">
        <v>1</v>
      </c>
      <c r="G36" s="47" t="s">
        <v>134</v>
      </c>
      <c r="H36" s="4" t="s">
        <v>135</v>
      </c>
      <c r="I36" s="21" t="s">
        <v>31</v>
      </c>
    </row>
    <row r="37" spans="1:9" ht="135" x14ac:dyDescent="0.25">
      <c r="A37" s="42" t="s">
        <v>83</v>
      </c>
      <c r="B37" s="2" t="s">
        <v>179</v>
      </c>
      <c r="C37" s="4" t="s">
        <v>66</v>
      </c>
      <c r="D37" s="28" t="s">
        <v>4</v>
      </c>
      <c r="E37" s="29">
        <v>1</v>
      </c>
      <c r="F37" s="29">
        <v>1</v>
      </c>
      <c r="G37" s="47" t="s">
        <v>138</v>
      </c>
      <c r="H37" s="4" t="s">
        <v>131</v>
      </c>
      <c r="I37" s="21" t="s">
        <v>31</v>
      </c>
    </row>
    <row r="38" spans="1:9" ht="135" x14ac:dyDescent="0.25">
      <c r="A38" s="42" t="s">
        <v>84</v>
      </c>
      <c r="B38" s="2" t="s">
        <v>180</v>
      </c>
      <c r="C38" s="4" t="s">
        <v>67</v>
      </c>
      <c r="D38" s="28" t="s">
        <v>4</v>
      </c>
      <c r="E38" s="29">
        <v>1</v>
      </c>
      <c r="F38" s="29">
        <v>1</v>
      </c>
      <c r="G38" s="47" t="s">
        <v>132</v>
      </c>
      <c r="H38" s="4" t="s">
        <v>142</v>
      </c>
      <c r="I38" s="21" t="s">
        <v>226</v>
      </c>
    </row>
    <row r="39" spans="1:9" ht="60" x14ac:dyDescent="0.25">
      <c r="A39" s="42" t="s">
        <v>85</v>
      </c>
      <c r="B39" s="2" t="s">
        <v>181</v>
      </c>
      <c r="C39" s="4" t="s">
        <v>32</v>
      </c>
      <c r="D39" s="28" t="s">
        <v>4</v>
      </c>
      <c r="E39" s="29">
        <v>1</v>
      </c>
      <c r="F39" s="29">
        <v>1</v>
      </c>
      <c r="G39" s="47" t="s">
        <v>134</v>
      </c>
      <c r="H39" s="4" t="s">
        <v>135</v>
      </c>
      <c r="I39" s="21" t="s">
        <v>31</v>
      </c>
    </row>
    <row r="41" spans="1:9" x14ac:dyDescent="0.25">
      <c r="A41" s="70" t="s">
        <v>216</v>
      </c>
      <c r="B41" s="70"/>
      <c r="C41" s="70"/>
      <c r="D41" s="70"/>
      <c r="E41" s="70"/>
      <c r="F41" s="70"/>
      <c r="G41" s="70"/>
      <c r="H41" s="70"/>
      <c r="I41" s="70"/>
    </row>
    <row r="62" spans="1:9" x14ac:dyDescent="0.25">
      <c r="A62" s="70" t="s">
        <v>217</v>
      </c>
      <c r="B62" s="69"/>
      <c r="C62" s="69"/>
      <c r="D62" s="69"/>
      <c r="E62" s="69"/>
      <c r="F62" s="69"/>
      <c r="G62" s="69"/>
      <c r="H62" s="69"/>
      <c r="I62" s="69"/>
    </row>
    <row r="63" spans="1:9" x14ac:dyDescent="0.25">
      <c r="A63" s="72" t="s">
        <v>218</v>
      </c>
      <c r="G63" s="71" t="s">
        <v>220</v>
      </c>
    </row>
    <row r="82" spans="1:3" x14ac:dyDescent="0.25">
      <c r="A82" s="71" t="s">
        <v>221</v>
      </c>
      <c r="B82" s="71"/>
      <c r="C82" s="71"/>
    </row>
  </sheetData>
  <autoFilter ref="A7:I39" xr:uid="{38AFBD6A-EDFC-45E3-AF05-863A7BF10EE2}"/>
  <conditionalFormatting sqref="D28 D36 D38">
    <cfRule type="cellIs" dxfId="101" priority="238" operator="equal">
      <formula>"In Progress"</formula>
    </cfRule>
    <cfRule type="cellIs" dxfId="100" priority="239" operator="equal">
      <formula>"Not Tested"</formula>
    </cfRule>
    <cfRule type="cellIs" dxfId="99" priority="240" operator="equal">
      <formula>"Tested"</formula>
    </cfRule>
  </conditionalFormatting>
  <conditionalFormatting sqref="D28 D36 D38">
    <cfRule type="cellIs" dxfId="98" priority="235" operator="equal">
      <formula>"Error"</formula>
    </cfRule>
    <cfRule type="cellIs" dxfId="97" priority="236" operator="equal">
      <formula>"Not Tested"</formula>
    </cfRule>
    <cfRule type="cellIs" dxfId="96" priority="237" operator="equal">
      <formula>"In Progress"</formula>
    </cfRule>
  </conditionalFormatting>
  <conditionalFormatting sqref="D25 D31 D33 D37 D8:D21">
    <cfRule type="cellIs" dxfId="95" priority="70" operator="equal">
      <formula>"In Progress"</formula>
    </cfRule>
    <cfRule type="cellIs" dxfId="94" priority="71" operator="equal">
      <formula>"Not Tested"</formula>
    </cfRule>
    <cfRule type="cellIs" dxfId="93" priority="72" operator="equal">
      <formula>"Tested"</formula>
    </cfRule>
  </conditionalFormatting>
  <conditionalFormatting sqref="D25 D31 D33 D37 D8:D21">
    <cfRule type="cellIs" dxfId="92" priority="67" operator="equal">
      <formula>"Error"</formula>
    </cfRule>
    <cfRule type="cellIs" dxfId="91" priority="68" operator="equal">
      <formula>"Not Tested"</formula>
    </cfRule>
    <cfRule type="cellIs" dxfId="90" priority="69" operator="equal">
      <formula>"In Progress"</formula>
    </cfRule>
  </conditionalFormatting>
  <conditionalFormatting sqref="D22">
    <cfRule type="cellIs" dxfId="89" priority="64" operator="equal">
      <formula>"In Progress"</formula>
    </cfRule>
    <cfRule type="cellIs" dxfId="88" priority="65" operator="equal">
      <formula>"Not Tested"</formula>
    </cfRule>
    <cfRule type="cellIs" dxfId="87" priority="66" operator="equal">
      <formula>"Tested"</formula>
    </cfRule>
  </conditionalFormatting>
  <conditionalFormatting sqref="D22">
    <cfRule type="cellIs" dxfId="86" priority="61" operator="equal">
      <formula>"Error"</formula>
    </cfRule>
    <cfRule type="cellIs" dxfId="85" priority="62" operator="equal">
      <formula>"Not Tested"</formula>
    </cfRule>
    <cfRule type="cellIs" dxfId="84" priority="63" operator="equal">
      <formula>"In Progress"</formula>
    </cfRule>
  </conditionalFormatting>
  <conditionalFormatting sqref="D23">
    <cfRule type="cellIs" dxfId="83" priority="58" operator="equal">
      <formula>"In Progress"</formula>
    </cfRule>
    <cfRule type="cellIs" dxfId="82" priority="59" operator="equal">
      <formula>"Not Tested"</formula>
    </cfRule>
    <cfRule type="cellIs" dxfId="81" priority="60" operator="equal">
      <formula>"Tested"</formula>
    </cfRule>
  </conditionalFormatting>
  <conditionalFormatting sqref="D23">
    <cfRule type="cellIs" dxfId="80" priority="55" operator="equal">
      <formula>"Error"</formula>
    </cfRule>
    <cfRule type="cellIs" dxfId="79" priority="56" operator="equal">
      <formula>"Not Tested"</formula>
    </cfRule>
    <cfRule type="cellIs" dxfId="78" priority="57" operator="equal">
      <formula>"In Progress"</formula>
    </cfRule>
  </conditionalFormatting>
  <conditionalFormatting sqref="D24">
    <cfRule type="cellIs" dxfId="77" priority="52" operator="equal">
      <formula>"In Progress"</formula>
    </cfRule>
    <cfRule type="cellIs" dxfId="76" priority="53" operator="equal">
      <formula>"Not Tested"</formula>
    </cfRule>
    <cfRule type="cellIs" dxfId="75" priority="54" operator="equal">
      <formula>"Tested"</formula>
    </cfRule>
  </conditionalFormatting>
  <conditionalFormatting sqref="D24">
    <cfRule type="cellIs" dxfId="74" priority="49" operator="equal">
      <formula>"Error"</formula>
    </cfRule>
    <cfRule type="cellIs" dxfId="73" priority="50" operator="equal">
      <formula>"Not Tested"</formula>
    </cfRule>
    <cfRule type="cellIs" dxfId="72" priority="51" operator="equal">
      <formula>"In Progress"</formula>
    </cfRule>
  </conditionalFormatting>
  <conditionalFormatting sqref="D26">
    <cfRule type="cellIs" dxfId="71" priority="46" operator="equal">
      <formula>"In Progress"</formula>
    </cfRule>
    <cfRule type="cellIs" dxfId="70" priority="47" operator="equal">
      <formula>"Not Tested"</formula>
    </cfRule>
    <cfRule type="cellIs" dxfId="69" priority="48" operator="equal">
      <formula>"Tested"</formula>
    </cfRule>
  </conditionalFormatting>
  <conditionalFormatting sqref="D26">
    <cfRule type="cellIs" dxfId="68" priority="43" operator="equal">
      <formula>"Error"</formula>
    </cfRule>
    <cfRule type="cellIs" dxfId="67" priority="44" operator="equal">
      <formula>"Not Tested"</formula>
    </cfRule>
    <cfRule type="cellIs" dxfId="66" priority="45" operator="equal">
      <formula>"In Progress"</formula>
    </cfRule>
  </conditionalFormatting>
  <conditionalFormatting sqref="D27">
    <cfRule type="cellIs" dxfId="65" priority="40" operator="equal">
      <formula>"In Progress"</formula>
    </cfRule>
    <cfRule type="cellIs" dxfId="64" priority="41" operator="equal">
      <formula>"Not Tested"</formula>
    </cfRule>
    <cfRule type="cellIs" dxfId="63" priority="42" operator="equal">
      <formula>"Tested"</formula>
    </cfRule>
  </conditionalFormatting>
  <conditionalFormatting sqref="D27">
    <cfRule type="cellIs" dxfId="62" priority="37" operator="equal">
      <formula>"Error"</formula>
    </cfRule>
    <cfRule type="cellIs" dxfId="61" priority="38" operator="equal">
      <formula>"Not Tested"</formula>
    </cfRule>
    <cfRule type="cellIs" dxfId="60" priority="39" operator="equal">
      <formula>"In Progress"</formula>
    </cfRule>
  </conditionalFormatting>
  <conditionalFormatting sqref="D29">
    <cfRule type="cellIs" dxfId="59" priority="34" operator="equal">
      <formula>"In Progress"</formula>
    </cfRule>
    <cfRule type="cellIs" dxfId="58" priority="35" operator="equal">
      <formula>"Not Tested"</formula>
    </cfRule>
    <cfRule type="cellIs" dxfId="57" priority="36" operator="equal">
      <formula>"Tested"</formula>
    </cfRule>
  </conditionalFormatting>
  <conditionalFormatting sqref="D29">
    <cfRule type="cellIs" dxfId="56" priority="31" operator="equal">
      <formula>"Error"</formula>
    </cfRule>
    <cfRule type="cellIs" dxfId="55" priority="32" operator="equal">
      <formula>"Not Tested"</formula>
    </cfRule>
    <cfRule type="cellIs" dxfId="54" priority="33" operator="equal">
      <formula>"In Progress"</formula>
    </cfRule>
  </conditionalFormatting>
  <conditionalFormatting sqref="D30">
    <cfRule type="cellIs" dxfId="53" priority="28" operator="equal">
      <formula>"In Progress"</formula>
    </cfRule>
    <cfRule type="cellIs" dxfId="52" priority="29" operator="equal">
      <formula>"Not Tested"</formula>
    </cfRule>
    <cfRule type="cellIs" dxfId="51" priority="30" operator="equal">
      <formula>"Tested"</formula>
    </cfRule>
  </conditionalFormatting>
  <conditionalFormatting sqref="D30">
    <cfRule type="cellIs" dxfId="50" priority="25" operator="equal">
      <formula>"Error"</formula>
    </cfRule>
    <cfRule type="cellIs" dxfId="49" priority="26" operator="equal">
      <formula>"Not Tested"</formula>
    </cfRule>
    <cfRule type="cellIs" dxfId="48" priority="27" operator="equal">
      <formula>"In Progress"</formula>
    </cfRule>
  </conditionalFormatting>
  <conditionalFormatting sqref="D35">
    <cfRule type="cellIs" dxfId="47" priority="22" operator="equal">
      <formula>"In Progress"</formula>
    </cfRule>
    <cfRule type="cellIs" dxfId="46" priority="23" operator="equal">
      <formula>"Not Tested"</formula>
    </cfRule>
    <cfRule type="cellIs" dxfId="45" priority="24" operator="equal">
      <formula>"Tested"</formula>
    </cfRule>
  </conditionalFormatting>
  <conditionalFormatting sqref="D35">
    <cfRule type="cellIs" dxfId="44" priority="19" operator="equal">
      <formula>"Error"</formula>
    </cfRule>
    <cfRule type="cellIs" dxfId="43" priority="20" operator="equal">
      <formula>"Not Tested"</formula>
    </cfRule>
    <cfRule type="cellIs" dxfId="42" priority="21" operator="equal">
      <formula>"In Progress"</formula>
    </cfRule>
  </conditionalFormatting>
  <conditionalFormatting sqref="D34">
    <cfRule type="cellIs" dxfId="41" priority="16" operator="equal">
      <formula>"In Progress"</formula>
    </cfRule>
    <cfRule type="cellIs" dxfId="40" priority="17" operator="equal">
      <formula>"Not Tested"</formula>
    </cfRule>
    <cfRule type="cellIs" dxfId="39" priority="18" operator="equal">
      <formula>"Tested"</formula>
    </cfRule>
  </conditionalFormatting>
  <conditionalFormatting sqref="D34">
    <cfRule type="cellIs" dxfId="38" priority="13" operator="equal">
      <formula>"Error"</formula>
    </cfRule>
    <cfRule type="cellIs" dxfId="37" priority="14" operator="equal">
      <formula>"Not Tested"</formula>
    </cfRule>
    <cfRule type="cellIs" dxfId="36" priority="15" operator="equal">
      <formula>"In Progress"</formula>
    </cfRule>
  </conditionalFormatting>
  <conditionalFormatting sqref="D39">
    <cfRule type="cellIs" dxfId="35" priority="10" operator="equal">
      <formula>"In Progress"</formula>
    </cfRule>
    <cfRule type="cellIs" dxfId="34" priority="11" operator="equal">
      <formula>"Not Tested"</formula>
    </cfRule>
    <cfRule type="cellIs" dxfId="33" priority="12" operator="equal">
      <formula>"Tested"</formula>
    </cfRule>
  </conditionalFormatting>
  <conditionalFormatting sqref="D39">
    <cfRule type="cellIs" dxfId="32" priority="7" operator="equal">
      <formula>"Error"</formula>
    </cfRule>
    <cfRule type="cellIs" dxfId="31" priority="8" operator="equal">
      <formula>"Not Tested"</formula>
    </cfRule>
    <cfRule type="cellIs" dxfId="30" priority="9" operator="equal">
      <formula>"In Progress"</formula>
    </cfRule>
  </conditionalFormatting>
  <conditionalFormatting sqref="D32">
    <cfRule type="cellIs" dxfId="29" priority="4" operator="equal">
      <formula>"In Progress"</formula>
    </cfRule>
    <cfRule type="cellIs" dxfId="28" priority="5" operator="equal">
      <formula>"Not Tested"</formula>
    </cfRule>
    <cfRule type="cellIs" dxfId="27" priority="6" operator="equal">
      <formula>"Tested"</formula>
    </cfRule>
  </conditionalFormatting>
  <conditionalFormatting sqref="D32">
    <cfRule type="cellIs" dxfId="26" priority="1" operator="equal">
      <formula>"Error"</formula>
    </cfRule>
    <cfRule type="cellIs" dxfId="25" priority="2" operator="equal">
      <formula>"Not Tested"</formula>
    </cfRule>
    <cfRule type="cellIs" dxfId="24" priority="3" operator="equal">
      <formula>"In Progress"</formula>
    </cfRule>
  </conditionalFormatting>
  <dataValidations count="1">
    <dataValidation type="list" allowBlank="1" showInputMessage="1" showErrorMessage="1" sqref="D8:D39" xr:uid="{28A3C9F9-974A-4FFB-A33D-80892B83E940}">
      <formula1>$D$2:$D$5</formula1>
    </dataValidation>
  </dataValidations>
  <pageMargins left="0.25" right="0.25" top="0.75" bottom="0.75" header="0.3" footer="0.3"/>
  <pageSetup paperSize="9" scale="54"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vt:lpstr>
      <vt:lpstr>Unit Testing</vt:lpstr>
      <vt:lpstr>IE</vt:lpstr>
      <vt:lpstr>Phone</vt:lpstr>
      <vt:lpstr>Tablet</vt:lpstr>
      <vt:lpstr>Plesk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Guru99</dc:creator>
  <cp:lastModifiedBy>Ruth Opie</cp:lastModifiedBy>
  <dcterms:created xsi:type="dcterms:W3CDTF">2018-12-31T07:44:29Z</dcterms:created>
  <dcterms:modified xsi:type="dcterms:W3CDTF">2020-04-03T03:47:23Z</dcterms:modified>
</cp:coreProperties>
</file>